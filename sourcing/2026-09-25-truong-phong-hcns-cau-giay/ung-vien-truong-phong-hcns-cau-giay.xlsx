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Ứng viên" sheetId="1" state="visible" r:id="rId1"/>
    <sheet name="Tổng hợp" sheetId="2" state="visible" r:id="rId2"/>
    <sheet name="Hướng dẫn" sheetId="3" state="visible" r:id="rId3"/>
  </sheets>
  <definedNames>
    <definedName name="_xlnm._FilterDatabase" localSheetId="0" hidden="1">'Ứng viên'!$A$1:$R$15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0" fontId="1" fillId="2" borderId="1" pivotButton="0" quotePrefix="0" xfId="0"/>
    <xf numFmtId="0" fontId="2" fillId="0" borderId="1" pivotButton="0" quotePrefix="0" xfId="0"/>
    <xf numFmtId="9" fontId="2" fillId="0" borderId="1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vn.linkedin.com/in/oanh-nguyen-488b23ba" TargetMode="External" Id="rId1" /><Relationship Type="http://schemas.openxmlformats.org/officeDocument/2006/relationships/hyperlink" Target="https://vn.linkedin.com/in/truong-vu-78378194" TargetMode="External" Id="rId2" /><Relationship Type="http://schemas.openxmlformats.org/officeDocument/2006/relationships/hyperlink" Target="https://vn.linkedin.com/in/phuquan" TargetMode="External" Id="rId3" /><Relationship Type="http://schemas.openxmlformats.org/officeDocument/2006/relationships/hyperlink" Target="https://vn.linkedin.com/in/tr%E1%BB%8Bnh-l%E1%BB%99c-shrm-scp-878258a2" TargetMode="External" Id="rId4" /><Relationship Type="http://schemas.openxmlformats.org/officeDocument/2006/relationships/hyperlink" Target="https://vn.linkedin.com/in/nguyen-thu-thuy-1239129a" TargetMode="External" Id="rId5" /><Relationship Type="http://schemas.openxmlformats.org/officeDocument/2006/relationships/hyperlink" Target="https://vn.linkedin.com/in/lan-tran-03581614" TargetMode="External" Id="rId6" /><Relationship Type="http://schemas.openxmlformats.org/officeDocument/2006/relationships/hyperlink" Target="https://vn.linkedin.com/in/luu-tuyet-hanh-942aa721" TargetMode="External" Id="rId7" /><Relationship Type="http://schemas.openxmlformats.org/officeDocument/2006/relationships/hyperlink" Target="https://vn.linkedin.com/in/nguyen-mai-lan-773bb5202" TargetMode="External" Id="rId8" /><Relationship Type="http://schemas.openxmlformats.org/officeDocument/2006/relationships/hyperlink" Target="https://vn.linkedin.com/in/duong-van-anh-a6a50b69" TargetMode="External" Id="rId9" /><Relationship Type="http://schemas.openxmlformats.org/officeDocument/2006/relationships/hyperlink" Target="https://vn.linkedin.com/in/nguyen-hien-0b0a52187" TargetMode="External" Id="rId10" /><Relationship Type="http://schemas.openxmlformats.org/officeDocument/2006/relationships/hyperlink" Target="https://vn.linkedin.com/in/tr%E1%BA%A7n-l%C3%AA-ph%C6%B0%C6%A1ng-35741b93" TargetMode="External" Id="rId11" /><Relationship Type="http://schemas.openxmlformats.org/officeDocument/2006/relationships/hyperlink" Target="https://vn.linkedin.com/in/may-nguyen-45815b149" TargetMode="External" Id="rId12" /><Relationship Type="http://schemas.openxmlformats.org/officeDocument/2006/relationships/hyperlink" Target="https://vn.linkedin.com/in/nguyen-thi-huong-847516317" TargetMode="External" Id="rId13" /><Relationship Type="http://schemas.openxmlformats.org/officeDocument/2006/relationships/hyperlink" Target="https://vn.linkedin.com/in/h%E1%BA%A1nh-b%C3%B9i-35781036a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13" customWidth="1" min="3" max="3"/>
    <col width="18" customWidth="1" min="4" max="4"/>
    <col width="26" customWidth="1" min="5" max="5"/>
    <col width="26" customWidth="1" min="6" max="6"/>
    <col width="18" customWidth="1" min="7" max="7"/>
    <col width="26" customWidth="1" min="8" max="8"/>
    <col width="12" customWidth="1" min="9" max="9"/>
    <col width="45" customWidth="1" min="10" max="10"/>
    <col width="9" customWidth="1" min="11" max="11"/>
    <col width="40" customWidth="1" min="12" max="12"/>
    <col width="14" customWidth="1" min="13" max="13"/>
    <col width="12" customWidth="1" min="14" max="14"/>
    <col width="14" customWidth="1" min="15" max="15"/>
    <col width="15" customWidth="1" min="16" max="16"/>
    <col width="20" customWidth="1" min="17" max="17"/>
    <col width="30" customWidth="1" min="18" max="18"/>
  </cols>
  <sheetData>
    <row r="1" ht="32" customHeight="1">
      <c r="A1" s="1" t="inlineStr">
        <is>
          <t>STT</t>
        </is>
      </c>
      <c r="B1" s="1" t="inlineStr">
        <is>
          <t>Nhóm</t>
        </is>
      </c>
      <c r="C1" s="1" t="inlineStr">
        <is>
          <t>Mã</t>
        </is>
      </c>
      <c r="D1" s="1" t="inlineStr">
        <is>
          <t>Họ tên</t>
        </is>
      </c>
      <c r="E1" s="1" t="inlineStr">
        <is>
          <t>Chức danh</t>
        </is>
      </c>
      <c r="F1" s="1" t="inlineStr">
        <is>
          <t>Công ty</t>
        </is>
      </c>
      <c r="G1" s="1" t="inlineStr">
        <is>
          <t>Địa điểm</t>
        </is>
      </c>
      <c r="H1" s="1" t="inlineStr">
        <is>
          <t>Kinh nghiệm BĐS</t>
        </is>
      </c>
      <c r="I1" s="1" t="inlineStr">
        <is>
          <t>Open to Work</t>
        </is>
      </c>
      <c r="J1" s="1" t="inlineStr">
        <is>
          <t>Bằng chứng / ghi chú nguồn</t>
        </is>
      </c>
      <c r="K1" s="1" t="inlineStr">
        <is>
          <t>Điểm phù hợp</t>
        </is>
      </c>
      <c r="L1" s="1" t="inlineStr">
        <is>
          <t>LinkedIn</t>
        </is>
      </c>
      <c r="M1" s="1" t="inlineStr">
        <is>
          <t>Đã liên hệ?</t>
        </is>
      </c>
      <c r="N1" s="1" t="inlineStr">
        <is>
          <t>Ngày liên hệ</t>
        </is>
      </c>
      <c r="O1" s="1" t="inlineStr">
        <is>
          <t>Kênh liên hệ</t>
        </is>
      </c>
      <c r="P1" s="1" t="inlineStr">
        <is>
          <t>Phản hồi</t>
        </is>
      </c>
      <c r="Q1" s="1" t="inlineStr">
        <is>
          <t>Trạng thái công việc</t>
        </is>
      </c>
      <c r="R1" s="1" t="inlineStr">
        <is>
          <t>Ghi chú của bạn</t>
        </is>
      </c>
    </row>
    <row r="2">
      <c r="A2" s="2" t="n">
        <v>1</v>
      </c>
      <c r="B2" s="2" t="inlineStr">
        <is>
          <t>Chính</t>
        </is>
      </c>
      <c r="C2" s="2" t="inlineStr">
        <is>
          <t>LT-HCNS-001</t>
        </is>
      </c>
      <c r="D2" s="2" t="inlineStr">
        <is>
          <t>Oanh Nguyen</t>
        </is>
      </c>
      <c r="E2" s="2" t="inlineStr">
        <is>
          <t>HR &amp; Admin Manager</t>
        </is>
      </c>
      <c r="F2" s="2" t="inlineStr">
        <is>
          <t>Dinosys Corporation</t>
        </is>
      </c>
      <c r="G2" s="2" t="inlineStr">
        <is>
          <t>Hanoi, Hanoi, Vietnam</t>
        </is>
      </c>
      <c r="H2" s="2" t="inlineStr">
        <is>
          <t>không có dữ liệu</t>
        </is>
      </c>
      <c r="I2" s="2" t="inlineStr">
        <is>
          <t>probable</t>
        </is>
      </c>
      <c r="J2" s="2" t="inlineStr">
        <is>
          <t>Profile summary (Google snippet): "An analytically minded HR professional who is available to start work at short notice."</t>
        </is>
      </c>
      <c r="K2" s="2" t="n">
        <v>40</v>
      </c>
      <c r="L2" s="3" t="inlineStr">
        <is>
          <t>https://vn.linkedin.com/in/oanh-nguyen-488b23ba</t>
        </is>
      </c>
      <c r="M2" s="4" t="inlineStr">
        <is>
          <t>Chưa liên hệ</t>
        </is>
      </c>
      <c r="N2" s="5" t="n"/>
      <c r="O2" s="4" t="n"/>
      <c r="P2" s="4" t="inlineStr">
        <is>
          <t>Chưa phản hồi</t>
        </is>
      </c>
      <c r="Q2" s="4" t="inlineStr">
        <is>
          <t>Chưa xác minh</t>
        </is>
      </c>
      <c r="R2" s="4" t="n"/>
    </row>
    <row r="3">
      <c r="A3" s="2" t="n">
        <v>2</v>
      </c>
      <c r="B3" s="2" t="inlineStr">
        <is>
          <t>Chính</t>
        </is>
      </c>
      <c r="C3" s="2" t="inlineStr">
        <is>
          <t>LT-HCNS-002</t>
        </is>
      </c>
      <c r="D3" s="2" t="inlineStr">
        <is>
          <t>Truong Vu</t>
        </is>
      </c>
      <c r="E3" s="2" t="inlineStr">
        <is>
          <t>Chief People Officer (CHRO) | HR Director</t>
        </is>
      </c>
      <c r="F3" s="2" t="inlineStr">
        <is>
          <t>Global Cross-Border E-Commerce &amp; Retail Tech Platform (US Market)</t>
        </is>
      </c>
      <c r="G3" s="2" t="inlineStr">
        <is>
          <t>Hanoi Capital Region</t>
        </is>
      </c>
      <c r="H3" s="2" t="inlineStr">
        <is>
          <t>không có dữ liệu</t>
        </is>
      </c>
      <c r="I3" s="2" t="inlineStr">
        <is>
          <t>probable</t>
        </is>
      </c>
      <c r="J3" s="2" t="inlineStr">
        <is>
          <t>Google snippet of the profile: "Looking for opportunities." (context unclear: could be the candidate's own post or an activity)</t>
        </is>
      </c>
      <c r="K3" s="2" t="n">
        <v>38</v>
      </c>
      <c r="L3" s="3" t="inlineStr">
        <is>
          <t>https://vn.linkedin.com/in/truong-vu-78378194</t>
        </is>
      </c>
      <c r="M3" s="4" t="inlineStr">
        <is>
          <t>Chưa liên hệ</t>
        </is>
      </c>
      <c r="N3" s="5" t="n"/>
      <c r="O3" s="4" t="n"/>
      <c r="P3" s="4" t="inlineStr">
        <is>
          <t>Chưa phản hồi</t>
        </is>
      </c>
      <c r="Q3" s="4" t="inlineStr">
        <is>
          <t>Chưa xác minh</t>
        </is>
      </c>
      <c r="R3" s="4" t="n"/>
    </row>
    <row r="4">
      <c r="A4" s="2" t="n">
        <v>3</v>
      </c>
      <c r="B4" s="2" t="inlineStr">
        <is>
          <t>Theo dõi</t>
        </is>
      </c>
      <c r="C4" s="2" t="inlineStr">
        <is>
          <t>LT-HCNS-W01</t>
        </is>
      </c>
      <c r="D4" s="2" t="inlineStr">
        <is>
          <t>Nguyen Quan</t>
        </is>
      </c>
      <c r="E4" s="2" t="inlineStr">
        <is>
          <t>Head of Human Resources (Talent Acquisition)</t>
        </is>
      </c>
      <c r="F4" s="2" t="inlineStr">
        <is>
          <t>T&amp;T Homes Real Estate JSC</t>
        </is>
      </c>
      <c r="G4" s="2" t="inlineStr">
        <is>
          <t>Hanoi, Hanoi, Vietnam</t>
        </is>
      </c>
      <c r="H4" s="2" t="inlineStr">
        <is>
          <t>Yes: Head of HR - Real Estate at T&amp;T Homes</t>
        </is>
      </c>
      <c r="I4" s="2" t="inlineStr">
        <is>
          <t>unverified</t>
        </is>
      </c>
      <c r="J4" s="2" t="inlineStr">
        <is>
          <t>HR Manager at Transport Hospital 5/2016-9/2021; strong in recruitment (headline "Talent Acquisition")</t>
        </is>
      </c>
      <c r="K4" s="2" t="n"/>
      <c r="L4" s="3" t="inlineStr">
        <is>
          <t>https://vn.linkedin.com/in/phuquan</t>
        </is>
      </c>
      <c r="M4" s="4" t="inlineStr">
        <is>
          <t>Chưa liên hệ</t>
        </is>
      </c>
      <c r="N4" s="5" t="n"/>
      <c r="O4" s="4" t="n"/>
      <c r="P4" s="4" t="inlineStr">
        <is>
          <t>Chưa phản hồi</t>
        </is>
      </c>
      <c r="Q4" s="4" t="inlineStr">
        <is>
          <t>Chưa xác minh</t>
        </is>
      </c>
      <c r="R4" s="4" t="n"/>
    </row>
    <row r="5">
      <c r="A5" s="2" t="n">
        <v>4</v>
      </c>
      <c r="B5" s="2" t="inlineStr">
        <is>
          <t>Theo dõi</t>
        </is>
      </c>
      <c r="C5" s="2" t="inlineStr">
        <is>
          <t>LT-HCNS-W02</t>
        </is>
      </c>
      <c r="D5" s="2" t="inlineStr">
        <is>
          <t>Trịnh Lộc</t>
        </is>
      </c>
      <c r="E5" s="2" t="inlineStr">
        <is>
          <t>Human Resources Director</t>
        </is>
      </c>
      <c r="F5" s="2" t="inlineStr">
        <is>
          <t>Dat Phuong Group</t>
        </is>
      </c>
      <c r="G5" s="2" t="inlineStr">
        <is>
          <t>Hanoi Capital Region</t>
        </is>
      </c>
      <c r="H5" s="2" t="inlineStr">
        <is>
          <t>Yes: snippet mentions real estate and hotel experience</t>
        </is>
      </c>
      <c r="I5" s="2" t="inlineStr">
        <is>
          <t>unverified</t>
        </is>
      </c>
      <c r="J5" s="2" t="inlineStr">
        <is>
          <t>HR Manager | HR Director | SHRM-SCP, "Trên 10 năm kinh nghiệm"</t>
        </is>
      </c>
      <c r="K5" s="2" t="n"/>
      <c r="L5" s="3" t="inlineStr">
        <is>
          <t>https://vn.linkedin.com/in/tr%E1%BB%8Bnh-l%E1%BB%99c-shrm-scp-878258a2</t>
        </is>
      </c>
      <c r="M5" s="4" t="inlineStr">
        <is>
          <t>Chưa liên hệ</t>
        </is>
      </c>
      <c r="N5" s="5" t="n"/>
      <c r="O5" s="4" t="n"/>
      <c r="P5" s="4" t="inlineStr">
        <is>
          <t>Chưa phản hồi</t>
        </is>
      </c>
      <c r="Q5" s="4" t="inlineStr">
        <is>
          <t>Chưa xác minh</t>
        </is>
      </c>
      <c r="R5" s="4" t="n"/>
    </row>
    <row r="6">
      <c r="A6" s="2" t="n">
        <v>5</v>
      </c>
      <c r="B6" s="2" t="inlineStr">
        <is>
          <t>Theo dõi</t>
        </is>
      </c>
      <c r="C6" s="2" t="inlineStr">
        <is>
          <t>LT-HCNS-W03</t>
        </is>
      </c>
      <c r="D6" s="2" t="inlineStr">
        <is>
          <t>Nguyen Thu Thuy</t>
        </is>
      </c>
      <c r="E6" s="2" t="inlineStr">
        <is>
          <t>Deputy HRGA Manager - Hanoi Branch</t>
        </is>
      </c>
      <c r="F6" s="2" t="inlineStr">
        <is>
          <t>CityLand Group</t>
        </is>
      </c>
      <c r="G6" s="2" t="inlineStr">
        <is>
          <t>Vietnam (Hanoi branch)</t>
        </is>
      </c>
      <c r="H6" s="2" t="inlineStr">
        <is>
          <t>Yes: CityLand Group (real estate)</t>
        </is>
      </c>
      <c r="I6" s="2" t="inlineStr">
        <is>
          <t>unverified</t>
        </is>
      </c>
      <c r="J6" s="2" t="inlineStr">
        <is>
          <t>Previously CEO Assistant (Acting HRGA Manager)</t>
        </is>
      </c>
      <c r="K6" s="2" t="n"/>
      <c r="L6" s="3" t="inlineStr">
        <is>
          <t>https://vn.linkedin.com/in/nguyen-thu-thuy-1239129a</t>
        </is>
      </c>
      <c r="M6" s="4" t="inlineStr">
        <is>
          <t>Chưa liên hệ</t>
        </is>
      </c>
      <c r="N6" s="5" t="n"/>
      <c r="O6" s="4" t="n"/>
      <c r="P6" s="4" t="inlineStr">
        <is>
          <t>Chưa phản hồi</t>
        </is>
      </c>
      <c r="Q6" s="4" t="inlineStr">
        <is>
          <t>Chưa xác minh</t>
        </is>
      </c>
      <c r="R6" s="4" t="n"/>
    </row>
    <row r="7">
      <c r="A7" s="2" t="n">
        <v>6</v>
      </c>
      <c r="B7" s="2" t="inlineStr">
        <is>
          <t>Theo dõi</t>
        </is>
      </c>
      <c r="C7" s="2" t="inlineStr">
        <is>
          <t>LT-HCNS-W04</t>
        </is>
      </c>
      <c r="D7" s="2" t="inlineStr">
        <is>
          <t>Lan Tran</t>
        </is>
      </c>
      <c r="E7" s="2" t="inlineStr">
        <is>
          <t>Deputy HR Manager</t>
        </is>
      </c>
      <c r="F7" s="2" t="inlineStr">
        <is>
          <t>Van Phu Invest</t>
        </is>
      </c>
      <c r="G7" s="2" t="inlineStr">
        <is>
          <t>(not stated in snippet)</t>
        </is>
      </c>
      <c r="H7" s="2" t="inlineStr">
        <is>
          <t>Yes: Van Phu Invest (real estate investor)</t>
        </is>
      </c>
      <c r="I7" s="2" t="inlineStr">
        <is>
          <t>unverified</t>
        </is>
      </c>
      <c r="J7" s="2" t="inlineStr">
        <is>
          <t>Deputy level: management scope needs checking</t>
        </is>
      </c>
      <c r="K7" s="2" t="n"/>
      <c r="L7" s="3" t="inlineStr">
        <is>
          <t>https://vn.linkedin.com/in/lan-tran-03581614</t>
        </is>
      </c>
      <c r="M7" s="4" t="inlineStr">
        <is>
          <t>Chưa liên hệ</t>
        </is>
      </c>
      <c r="N7" s="5" t="n"/>
      <c r="O7" s="4" t="n"/>
      <c r="P7" s="4" t="inlineStr">
        <is>
          <t>Chưa phản hồi</t>
        </is>
      </c>
      <c r="Q7" s="4" t="inlineStr">
        <is>
          <t>Chưa xác minh</t>
        </is>
      </c>
      <c r="R7" s="4" t="n"/>
    </row>
    <row r="8">
      <c r="A8" s="2" t="n">
        <v>7</v>
      </c>
      <c r="B8" s="2" t="inlineStr">
        <is>
          <t>Theo dõi</t>
        </is>
      </c>
      <c r="C8" s="2" t="inlineStr">
        <is>
          <t>LT-HCNS-W05</t>
        </is>
      </c>
      <c r="D8" s="2" t="inlineStr">
        <is>
          <t>Luu Tuyet Hanh</t>
        </is>
      </c>
      <c r="E8" s="2" t="inlineStr">
        <is>
          <t>HR Manager, Hanoi</t>
        </is>
      </c>
      <c r="F8" s="2" t="inlineStr">
        <is>
          <t>Savills Vietnam</t>
        </is>
      </c>
      <c r="G8" s="2" t="inlineStr">
        <is>
          <t>Hanoi</t>
        </is>
      </c>
      <c r="H8" s="2" t="inlineStr">
        <is>
          <t>Yes: Savills (real estate services)</t>
        </is>
      </c>
      <c r="I8" s="2" t="inlineStr">
        <is>
          <t>unverified</t>
        </is>
      </c>
      <c r="J8" s="2" t="inlineStr">
        <is>
          <t>Chưa có tín hiệu tìm việc công khai</t>
        </is>
      </c>
      <c r="K8" s="2" t="n"/>
      <c r="L8" s="3" t="inlineStr">
        <is>
          <t>https://vn.linkedin.com/in/luu-tuyet-hanh-942aa721</t>
        </is>
      </c>
      <c r="M8" s="4" t="inlineStr">
        <is>
          <t>Chưa liên hệ</t>
        </is>
      </c>
      <c r="N8" s="5" t="n"/>
      <c r="O8" s="4" t="n"/>
      <c r="P8" s="4" t="inlineStr">
        <is>
          <t>Chưa phản hồi</t>
        </is>
      </c>
      <c r="Q8" s="4" t="inlineStr">
        <is>
          <t>Chưa xác minh</t>
        </is>
      </c>
      <c r="R8" s="4" t="n"/>
    </row>
    <row r="9">
      <c r="A9" s="2" t="n">
        <v>8</v>
      </c>
      <c r="B9" s="2" t="inlineStr">
        <is>
          <t>Theo dõi</t>
        </is>
      </c>
      <c r="C9" s="2" t="inlineStr">
        <is>
          <t>LT-HCNS-W06</t>
        </is>
      </c>
      <c r="D9" s="2" t="inlineStr">
        <is>
          <t>Nguyen Mai Lan</t>
        </is>
      </c>
      <c r="E9" s="2" t="inlineStr">
        <is>
          <t>Human Resources Manager (2019-2021)</t>
        </is>
      </c>
      <c r="F9" s="2" t="inlineStr">
        <is>
          <t>Skyline Real Estate</t>
        </is>
      </c>
      <c r="G9" s="2" t="inlineStr">
        <is>
          <t>(not stated)</t>
        </is>
      </c>
      <c r="H9" s="2" t="inlineStr">
        <is>
          <t>Yes: Skyline Real Estate; FLC Group 2015-2019</t>
        </is>
      </c>
      <c r="I9" s="2" t="inlineStr">
        <is>
          <t>unverified</t>
        </is>
      </c>
      <c r="J9" s="2" t="inlineStr">
        <is>
          <t>Current role unclear</t>
        </is>
      </c>
      <c r="K9" s="2" t="n"/>
      <c r="L9" s="3" t="inlineStr">
        <is>
          <t>https://vn.linkedin.com/in/nguyen-mai-lan-773bb5202</t>
        </is>
      </c>
      <c r="M9" s="4" t="inlineStr">
        <is>
          <t>Chưa liên hệ</t>
        </is>
      </c>
      <c r="N9" s="5" t="n"/>
      <c r="O9" s="4" t="n"/>
      <c r="P9" s="4" t="inlineStr">
        <is>
          <t>Chưa phản hồi</t>
        </is>
      </c>
      <c r="Q9" s="4" t="inlineStr">
        <is>
          <t>Chưa xác minh</t>
        </is>
      </c>
      <c r="R9" s="4" t="n"/>
    </row>
    <row r="10">
      <c r="A10" s="2" t="n">
        <v>9</v>
      </c>
      <c r="B10" s="2" t="inlineStr">
        <is>
          <t>Theo dõi</t>
        </is>
      </c>
      <c r="C10" s="2" t="inlineStr">
        <is>
          <t>LT-HCNS-W07</t>
        </is>
      </c>
      <c r="D10" s="2" t="inlineStr">
        <is>
          <t>Duong Van Anh</t>
        </is>
      </c>
      <c r="E10" s="2" t="inlineStr">
        <is>
          <t>Human Resources Manager/Director/Consultant</t>
        </is>
      </c>
      <c r="F10" s="2" t="inlineStr">
        <is>
          <t>My Hr</t>
        </is>
      </c>
      <c r="G10" s="2" t="inlineStr">
        <is>
          <t>Đống Đa district, Hanoi</t>
        </is>
      </c>
      <c r="H10" s="2" t="inlineStr">
        <is>
          <t>Yes: BRG Group 2/2019-11/2021</t>
        </is>
      </c>
      <c r="I10" s="2" t="inlineStr">
        <is>
          <t>unverified</t>
        </is>
      </c>
      <c r="J10" s="2" t="inlineStr">
        <is>
          <t>HR Manager/Director in many industries (FMCG...)</t>
        </is>
      </c>
      <c r="K10" s="2" t="n"/>
      <c r="L10" s="3" t="inlineStr">
        <is>
          <t>https://vn.linkedin.com/in/duong-van-anh-a6a50b69</t>
        </is>
      </c>
      <c r="M10" s="4" t="inlineStr">
        <is>
          <t>Chưa liên hệ</t>
        </is>
      </c>
      <c r="N10" s="5" t="n"/>
      <c r="O10" s="4" t="n"/>
      <c r="P10" s="4" t="inlineStr">
        <is>
          <t>Chưa phản hồi</t>
        </is>
      </c>
      <c r="Q10" s="4" t="inlineStr">
        <is>
          <t>Chưa xác minh</t>
        </is>
      </c>
      <c r="R10" s="4" t="n"/>
    </row>
    <row r="11">
      <c r="A11" s="2" t="n">
        <v>10</v>
      </c>
      <c r="B11" s="2" t="inlineStr">
        <is>
          <t>Theo dõi</t>
        </is>
      </c>
      <c r="C11" s="2" t="inlineStr">
        <is>
          <t>LT-HCNS-W08</t>
        </is>
      </c>
      <c r="D11" s="2" t="inlineStr">
        <is>
          <t>Nguyen Hien</t>
        </is>
      </c>
      <c r="E11" s="2" t="inlineStr">
        <is>
          <t>Manager of HR Strategy, Policy System</t>
        </is>
      </c>
      <c r="F11" s="2" t="inlineStr">
        <is>
          <t>BRG Group</t>
        </is>
      </c>
      <c r="G11" s="2" t="inlineStr">
        <is>
          <t>Hanoi Capital Region</t>
        </is>
      </c>
      <c r="H11" s="2" t="inlineStr">
        <is>
          <t>Yes: BRG Group (real estate/multi-sector)</t>
        </is>
      </c>
      <c r="I11" s="2" t="inlineStr">
        <is>
          <t>unverified</t>
        </is>
      </c>
      <c r="J11" s="2" t="inlineStr">
        <is>
          <t>HRBP, HR policy: matches the systems-building criterion</t>
        </is>
      </c>
      <c r="K11" s="2" t="n"/>
      <c r="L11" s="3" t="inlineStr">
        <is>
          <t>https://vn.linkedin.com/in/nguyen-hien-0b0a52187</t>
        </is>
      </c>
      <c r="M11" s="4" t="inlineStr">
        <is>
          <t>Chưa liên hệ</t>
        </is>
      </c>
      <c r="N11" s="5" t="n"/>
      <c r="O11" s="4" t="n"/>
      <c r="P11" s="4" t="inlineStr">
        <is>
          <t>Chưa phản hồi</t>
        </is>
      </c>
      <c r="Q11" s="4" t="inlineStr">
        <is>
          <t>Chưa xác minh</t>
        </is>
      </c>
      <c r="R11" s="4" t="n"/>
    </row>
    <row r="12">
      <c r="A12" s="2" t="n">
        <v>11</v>
      </c>
      <c r="B12" s="2" t="inlineStr">
        <is>
          <t>Theo dõi</t>
        </is>
      </c>
      <c r="C12" s="2" t="inlineStr">
        <is>
          <t>LT-HCNS-W09</t>
        </is>
      </c>
      <c r="D12" s="2" t="inlineStr">
        <is>
          <t>Trần Lê Phương</t>
        </is>
      </c>
      <c r="E12" s="2" t="inlineStr">
        <is>
          <t>Trưởng phòng Hành chính - Nhân sự</t>
        </is>
      </c>
      <c r="F12" s="2" t="inlineStr">
        <is>
          <t>Công ty CP Đầu tư và Xây dựng số 1 Hà Nội</t>
        </is>
      </c>
      <c r="G12" s="2" t="inlineStr">
        <is>
          <t>Vietnam (company in Hanoi)</t>
        </is>
      </c>
      <c r="H12" s="2" t="inlineStr">
        <is>
          <t>Yes: construction and investment</t>
        </is>
      </c>
      <c r="I12" s="2" t="inlineStr">
        <is>
          <t>unverified</t>
        </is>
      </c>
      <c r="J12" s="2" t="inlineStr">
        <is>
          <t>Exact title match (Head of Admin &amp; HR department)</t>
        </is>
      </c>
      <c r="K12" s="2" t="n"/>
      <c r="L12" s="3" t="inlineStr">
        <is>
          <t>https://vn.linkedin.com/in/tr%E1%BA%A7n-l%C3%AA-ph%C6%B0%C6%A1ng-35741b93</t>
        </is>
      </c>
      <c r="M12" s="4" t="inlineStr">
        <is>
          <t>Chưa liên hệ</t>
        </is>
      </c>
      <c r="N12" s="5" t="n"/>
      <c r="O12" s="4" t="n"/>
      <c r="P12" s="4" t="inlineStr">
        <is>
          <t>Chưa phản hồi</t>
        </is>
      </c>
      <c r="Q12" s="4" t="inlineStr">
        <is>
          <t>Chưa xác minh</t>
        </is>
      </c>
      <c r="R12" s="4" t="n"/>
    </row>
    <row r="13">
      <c r="A13" s="2" t="n">
        <v>12</v>
      </c>
      <c r="B13" s="2" t="inlineStr">
        <is>
          <t>Theo dõi</t>
        </is>
      </c>
      <c r="C13" s="2" t="inlineStr">
        <is>
          <t>LT-HCNS-W10</t>
        </is>
      </c>
      <c r="D13" s="2" t="inlineStr">
        <is>
          <t>May Nguyen</t>
        </is>
      </c>
      <c r="E13" s="2" t="inlineStr">
        <is>
          <t>HR Manager</t>
        </is>
      </c>
      <c r="F13" s="2" t="inlineStr">
        <is>
          <t>Visaho JSC</t>
        </is>
      </c>
      <c r="G13" s="2" t="inlineStr">
        <is>
          <t>Hanoi (per snippet)</t>
        </is>
      </c>
      <c r="H13" s="2" t="inlineStr">
        <is>
          <t>Related: property management service (Korea Rental Vina)</t>
        </is>
      </c>
      <c r="I13" s="2" t="inlineStr">
        <is>
          <t>unverified</t>
        </is>
      </c>
      <c r="J13" s="2" t="inlineStr">
        <is>
          <t>HR Manager at Visaho 11/2019 to present</t>
        </is>
      </c>
      <c r="K13" s="2" t="n"/>
      <c r="L13" s="3" t="inlineStr">
        <is>
          <t>https://vn.linkedin.com/in/may-nguyen-45815b149</t>
        </is>
      </c>
      <c r="M13" s="4" t="inlineStr">
        <is>
          <t>Chưa liên hệ</t>
        </is>
      </c>
      <c r="N13" s="5" t="n"/>
      <c r="O13" s="4" t="n"/>
      <c r="P13" s="4" t="inlineStr">
        <is>
          <t>Chưa phản hồi</t>
        </is>
      </c>
      <c r="Q13" s="4" t="inlineStr">
        <is>
          <t>Chưa xác minh</t>
        </is>
      </c>
      <c r="R13" s="4" t="n"/>
    </row>
    <row r="14">
      <c r="A14" s="2" t="n">
        <v>13</v>
      </c>
      <c r="B14" s="2" t="inlineStr">
        <is>
          <t>Theo dõi</t>
        </is>
      </c>
      <c r="C14" s="2" t="inlineStr">
        <is>
          <t>LT-HCNS-W11</t>
        </is>
      </c>
      <c r="D14" s="2" t="inlineStr">
        <is>
          <t>Nguyễn Thị Hương</t>
        </is>
      </c>
      <c r="E14" s="2" t="inlineStr">
        <is>
          <t>Trưởng phòng Nhân sự</t>
        </is>
      </c>
      <c r="F14" s="2" t="inlineStr">
        <is>
          <t>Beauteeful Corp</t>
        </is>
      </c>
      <c r="G14" s="2" t="inlineStr">
        <is>
          <t>Hanoi Capital Region</t>
        </is>
      </c>
      <c r="H14" s="2" t="inlineStr">
        <is>
          <t>không có dữ liệu</t>
        </is>
      </c>
      <c r="I14" s="2" t="inlineStr">
        <is>
          <t>unverified</t>
        </is>
      </c>
      <c r="J14" s="2" t="inlineStr">
        <is>
          <t>Headline "HR Manager | Xây dựng hệ thống..."; 3/2025 to present</t>
        </is>
      </c>
      <c r="K14" s="2" t="n"/>
      <c r="L14" s="3" t="inlineStr">
        <is>
          <t>https://vn.linkedin.com/in/nguyen-thi-huong-847516317</t>
        </is>
      </c>
      <c r="M14" s="4" t="inlineStr">
        <is>
          <t>Chưa liên hệ</t>
        </is>
      </c>
      <c r="N14" s="5" t="n"/>
      <c r="O14" s="4" t="n"/>
      <c r="P14" s="4" t="inlineStr">
        <is>
          <t>Chưa phản hồi</t>
        </is>
      </c>
      <c r="Q14" s="4" t="inlineStr">
        <is>
          <t>Chưa xác minh</t>
        </is>
      </c>
      <c r="R14" s="4" t="n"/>
    </row>
    <row r="15">
      <c r="A15" s="2" t="n">
        <v>14</v>
      </c>
      <c r="B15" s="2" t="inlineStr">
        <is>
          <t>Theo dõi</t>
        </is>
      </c>
      <c r="C15" s="2" t="inlineStr">
        <is>
          <t>LT-HCNS-W12</t>
        </is>
      </c>
      <c r="D15" s="2" t="inlineStr">
        <is>
          <t>Hạnh Bùi</t>
        </is>
      </c>
      <c r="E15" s="2" t="inlineStr">
        <is>
          <t>HR Manager</t>
        </is>
      </c>
      <c r="F15" s="2" t="inlineStr">
        <is>
          <t>Max Thang Long</t>
        </is>
      </c>
      <c r="G15" s="2" t="inlineStr">
        <is>
          <t>Quận Cầu Giấy, Hanoi</t>
        </is>
      </c>
      <c r="H15" s="2" t="inlineStr">
        <is>
          <t>không có dữ liệu</t>
        </is>
      </c>
      <c r="I15" s="2" t="inlineStr">
        <is>
          <t>unverified</t>
        </is>
      </c>
      <c r="J15" s="2" t="inlineStr">
        <is>
          <t>Location matches Cầu Giấy exactly</t>
        </is>
      </c>
      <c r="K15" s="2" t="n"/>
      <c r="L15" s="3" t="inlineStr">
        <is>
          <t>https://vn.linkedin.com/in/h%E1%BA%A1nh-b%C3%B9i-35781036a</t>
        </is>
      </c>
      <c r="M15" s="4" t="inlineStr">
        <is>
          <t>Chưa liên hệ</t>
        </is>
      </c>
      <c r="N15" s="5" t="n"/>
      <c r="O15" s="4" t="n"/>
      <c r="P15" s="4" t="inlineStr">
        <is>
          <t>Chưa phản hồi</t>
        </is>
      </c>
      <c r="Q15" s="4" t="inlineStr">
        <is>
          <t>Chưa xác minh</t>
        </is>
      </c>
      <c r="R15" s="4" t="n"/>
    </row>
  </sheetData>
  <autoFilter ref="A1:R15"/>
  <conditionalFormatting sqref="M2:M15">
    <cfRule type="cellIs" priority="1" operator="equal" dxfId="0">
      <formula>"Đã liên hệ"</formula>
    </cfRule>
  </conditionalFormatting>
  <conditionalFormatting sqref="Q2:Q15">
    <cfRule type="cellIs" priority="2" operator="equal" dxfId="0">
      <formula>"Đang tìm việc"</formula>
    </cfRule>
  </conditionalFormatting>
  <dataValidations count="5">
    <dataValidation sqref="M2:M15" showDropDown="0" showInputMessage="0" showErrorMessage="0" allowBlank="1" type="list">
      <formula1>"Chưa liên hệ,Đã liên hệ,Không liên hệ được"</formula1>
    </dataValidation>
    <dataValidation sqref="O2:O15" showDropDown="0" showInputMessage="0" showErrorMessage="0" allowBlank="1" type="list">
      <formula1>"LinkedIn InMail,LinkedIn kết nối,Email,Điện thoại/Zalo,Giới thiệu,Khác"</formula1>
    </dataValidation>
    <dataValidation sqref="P2:P15" showDropDown="0" showInputMessage="0" showErrorMessage="0" allowBlank="1" type="list">
      <formula1>"Chưa phản hồi,Quan tâm,Không quan tâm,Hẹn phỏng vấn,Từ chối"</formula1>
    </dataValidation>
    <dataValidation sqref="Q2:Q15" showDropDown="0" showInputMessage="0" showErrorMessage="0" allowBlank="1" type="list">
      <formula1>"Chưa xác minh,Đang tìm việc,Đang làm việc - mở cơ hội,Đang làm việc - không đổi việc,Đã nhận offer nơi khác"</formula1>
    </dataValidation>
    <dataValidation sqref="N2:N15" showDropDown="0" showInputMessage="0" showErrorMessage="0" allowBlank="1" type="date" operator="greaterThan">
      <formula1>DATE(2020,1,1)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</cols>
  <sheetData>
    <row r="1">
      <c r="A1" s="6" t="inlineStr">
        <is>
          <t>Chỉ số</t>
        </is>
      </c>
      <c r="B1" s="6" t="inlineStr">
        <is>
          <t>Giá trị</t>
        </is>
      </c>
    </row>
    <row r="2">
      <c r="A2" s="7" t="inlineStr">
        <is>
          <t>Tổng số hồ sơ</t>
        </is>
      </c>
      <c r="B2" s="7">
        <f>COUNTA('Ứng viên'!D2:D15)</f>
        <v/>
      </c>
    </row>
    <row r="3">
      <c r="A3" s="7" t="inlineStr">
        <is>
          <t>Ứng viên chính (probable)</t>
        </is>
      </c>
      <c r="B3" s="7">
        <f>COUNTIF('Ứng viên'!B2:B15,"Chính")</f>
        <v/>
      </c>
    </row>
    <row r="4">
      <c r="A4" s="7" t="inlineStr">
        <is>
          <t>Danh sách theo dõi</t>
        </is>
      </c>
      <c r="B4" s="7">
        <f>COUNTIF('Ứng viên'!B2:B15,"Theo dõi")</f>
        <v/>
      </c>
    </row>
    <row r="5">
      <c r="A5" s="7" t="inlineStr">
        <is>
          <t>Đã liên hệ</t>
        </is>
      </c>
      <c r="B5" s="7">
        <f>COUNTIF('Ứng viên'!M2:M15,"Đã liên hệ")</f>
        <v/>
      </c>
    </row>
    <row r="6">
      <c r="A6" s="7" t="inlineStr">
        <is>
          <t>Chưa liên hệ</t>
        </is>
      </c>
      <c r="B6" s="7">
        <f>COUNTIF('Ứng viên'!M2:M15,"Chưa liên hệ")</f>
        <v/>
      </c>
    </row>
    <row r="7">
      <c r="A7" s="7" t="inlineStr">
        <is>
          <t>Tỷ lệ đã liên hệ</t>
        </is>
      </c>
      <c r="B7" s="8">
        <f>IFERROR(B5/B2,0)</f>
        <v/>
      </c>
    </row>
    <row r="8">
      <c r="A8" s="7" t="inlineStr">
        <is>
          <t>Phản hồi quan tâm</t>
        </is>
      </c>
      <c r="B8" s="7">
        <f>COUNTIF('Ứng viên'!P2:P15,"Quan tâm")</f>
        <v/>
      </c>
    </row>
    <row r="9">
      <c r="A9" s="7" t="inlineStr">
        <is>
          <t>Hẹn phỏng vấn</t>
        </is>
      </c>
      <c r="B9" s="7">
        <f>COUNTIF('Ứng viên'!P2:P15,"Hẹn phỏng vấn")</f>
        <v/>
      </c>
    </row>
    <row r="10">
      <c r="A10" s="7" t="inlineStr">
        <is>
          <t>Trạng thái: Đang tìm việc</t>
        </is>
      </c>
      <c r="B10" s="7">
        <f>COUNTIF('Ứng viên'!Q2:Q15,"Đang tìm việc")</f>
        <v/>
      </c>
    </row>
    <row r="11">
      <c r="A11" s="7" t="inlineStr">
        <is>
          <t>Trạng thái: Đang làm việc - mở cơ hội</t>
        </is>
      </c>
      <c r="B11" s="7">
        <f>COUNTIF('Ứng viên'!Q2:Q15,"Đang làm việc - mở cơ hội")</f>
        <v/>
      </c>
    </row>
    <row r="12">
      <c r="A12" s="7" t="inlineStr">
        <is>
          <t>Trạng thái: Đang làm việc - không đổi việc</t>
        </is>
      </c>
      <c r="B12" s="7">
        <f>COUNTIF('Ứng viên'!Q2:Q15,"Đang làm việc - không đổi việc")</f>
        <v/>
      </c>
    </row>
    <row r="13">
      <c r="A13" s="7" t="inlineStr">
        <is>
          <t>Trạng thái: Chưa xác minh</t>
        </is>
      </c>
      <c r="B13" s="7">
        <f>COUNTIF('Ứng viên'!Q2:Q15,"Chưa xác minh")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9" t="inlineStr">
        <is>
          <t>Cách dùng</t>
        </is>
      </c>
      <c r="B1" s="10" t="inlineStr"/>
    </row>
    <row r="2">
      <c r="A2" s="10" t="inlineStr">
        <is>
          <t>Ô nền vàng (cột M–R, sheet 'Ứng viên')</t>
        </is>
      </c>
      <c r="B2" s="10" t="inlineStr">
        <is>
          <t>Ô bạn tự cập nhật; chọn giá trị từ danh sách thả xuống</t>
        </is>
      </c>
    </row>
    <row r="3">
      <c r="A3" s="10" t="inlineStr">
        <is>
          <t>Đã liên hệ?</t>
        </is>
      </c>
      <c r="B3" s="10" t="inlineStr">
        <is>
          <t>Chưa liên hệ / Đã liên hệ / Không liên hệ được</t>
        </is>
      </c>
    </row>
    <row r="4">
      <c r="A4" s="10" t="inlineStr">
        <is>
          <t>Ngày liên hệ</t>
        </is>
      </c>
      <c r="B4" s="10" t="inlineStr">
        <is>
          <t>Nhập dạng ngày, ví dụ 26/09/2026</t>
        </is>
      </c>
    </row>
    <row r="5">
      <c r="A5" s="10" t="inlineStr">
        <is>
          <t>Kênh liên hệ</t>
        </is>
      </c>
      <c r="B5" s="10" t="inlineStr">
        <is>
          <t>LinkedIn InMail, LinkedIn kết nối, Email, Điện thoại/Zalo, Giới thiệu, Khác</t>
        </is>
      </c>
    </row>
    <row r="6">
      <c r="A6" s="10" t="inlineStr">
        <is>
          <t>Phản hồi</t>
        </is>
      </c>
      <c r="B6" s="10" t="inlineStr">
        <is>
          <t>Chưa phản hồi / Quan tâm / Không quan tâm / Hẹn phỏng vấn / Từ chối</t>
        </is>
      </c>
    </row>
    <row r="7">
      <c r="A7" s="10" t="inlineStr">
        <is>
          <t>Trạng thái công việc</t>
        </is>
      </c>
      <c r="B7" s="10" t="inlineStr">
        <is>
          <t>Chưa xác minh / Đang tìm việc / Đang làm việc - mở cơ hội / Đang làm việc - không đổi việc / Đã nhận offer nơi khác</t>
        </is>
      </c>
    </row>
    <row r="8">
      <c r="A8" s="10" t="inlineStr">
        <is>
          <t>Ví dụ 1 dòng đã cập nhật</t>
        </is>
      </c>
      <c r="B8" s="10" t="inlineStr">
        <is>
          <t>Đã liên hệ | 26/09/2026 | LinkedIn InMail | Quan tâm | Đang làm việc - mở cơ hội | Hẹn gọi 30/09</t>
        </is>
      </c>
    </row>
    <row r="9">
      <c r="A9" s="10" t="inlineStr"/>
      <c r="B9" s="10" t="inlineStr"/>
    </row>
    <row r="10">
      <c r="A10" s="10" t="inlineStr">
        <is>
          <t>Nguồn dữ liệu</t>
        </is>
      </c>
      <c r="B10" s="10" t="inlineStr">
        <is>
          <t>Google Search qua Apify (run TELEcTGE4T7uQkbmM), kiểm tra ngày 25/09/2026. Chỉ dùng thông tin công khai, không đăng nhập.</t>
        </is>
      </c>
    </row>
    <row r="11">
      <c r="A11" s="10" t="inlineStr">
        <is>
          <t>Open to Work</t>
        </is>
      </c>
      <c r="B11" s="10" t="inlineStr">
        <is>
          <t>probable = có câu chữ gợi ý tìm việc nhưng chưa rõ ngày; unverified = chưa thấy tín hiệu công khai</t>
        </is>
      </c>
    </row>
    <row r="12">
      <c r="A12" s="10" t="inlineStr">
        <is>
          <t>Điểm phù hợp</t>
        </is>
      </c>
      <c r="B12" s="10" t="inlineStr">
        <is>
          <t>Thang 100; chỉ chấm cho nhóm Chính. Tiêu chí thiếu dữ liệu được tính 0 (không có dữ liệu ≠ không có kinh nghiệm).</t>
        </is>
      </c>
    </row>
    <row r="13">
      <c r="A13" s="10" t="inlineStr">
        <is>
          <t>Trạng thái công việc ban đầu</t>
        </is>
      </c>
      <c r="B13" s="10" t="inlineStr">
        <is>
          <t>Mọi hồ sơ để 'Chưa xác minh' vì không kiểm chứng được trạng thái hiện tại từ nguồn công khai.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2026-09-25T03:56:08Z</dcterms:created>
  <dcterms:modified xsi:type="dcterms:W3CDTF">2026-09-25T03:59:32Z</dcterms:modified>
</cp:coreProperties>
</file>