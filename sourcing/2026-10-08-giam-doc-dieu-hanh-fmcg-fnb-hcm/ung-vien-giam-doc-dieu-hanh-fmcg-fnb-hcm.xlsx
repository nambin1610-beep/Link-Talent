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Ứng viên" sheetId="1" state="visible" r:id="rId1"/>
    <sheet name="Tổng hợp" sheetId="2" state="visible" r:id="rId2"/>
    <sheet name="Đã loại" sheetId="3" state="visible" r:id="rId3"/>
    <sheet name="Hướng dẫn" sheetId="4" state="visible" r:id="rId4"/>
  </sheets>
  <definedNames>
    <definedName name="_xlnm._FilterDatabase" localSheetId="0" hidden="1">'Ứng viên'!$A$1:$U$24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0" borderId="1" pivotButton="0" quotePrefix="0" xfId="0"/>
    <xf numFmtId="9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khoa-nguyen-anh-4bab941a3" TargetMode="External" Id="rId1" /><Relationship Type="http://schemas.openxmlformats.org/officeDocument/2006/relationships/hyperlink" Target="https://www.linkedin.com/in/khoa-nguyen-anh-4bab941a3" TargetMode="External" Id="rId2" /><Relationship Type="http://schemas.openxmlformats.org/officeDocument/2006/relationships/hyperlink" Target="https://www.linkedin.com/in/thang-nguyen-9a2786187" TargetMode="External" Id="rId3" /><Relationship Type="http://schemas.openxmlformats.org/officeDocument/2006/relationships/hyperlink" Target="https://www.linkedin.com/in/thang-nguyen-9a2786187" TargetMode="External" Id="rId4" /><Relationship Type="http://schemas.openxmlformats.org/officeDocument/2006/relationships/hyperlink" Target="https://www.linkedin.com/in/nhat-nguyen-the-duc-47664986" TargetMode="External" Id="rId5" /><Relationship Type="http://schemas.openxmlformats.org/officeDocument/2006/relationships/hyperlink" Target="https://www.linkedin.com/in/nhat-nguyen-the-duc-47664986" TargetMode="External" Id="rId6" /><Relationship Type="http://schemas.openxmlformats.org/officeDocument/2006/relationships/hyperlink" Target="https://www.linkedin.com/in/uyen-tr&#7883;nh-0417903a5" TargetMode="External" Id="rId7" /><Relationship Type="http://schemas.openxmlformats.org/officeDocument/2006/relationships/hyperlink" Target="https://www.linkedin.com/in/uyen-tr&#7883;nh-0417903a5" TargetMode="External" Id="rId8" /><Relationship Type="http://schemas.openxmlformats.org/officeDocument/2006/relationships/hyperlink" Target="https://www.linkedin.com/in/sandeep-gavali" TargetMode="External" Id="rId9" /><Relationship Type="http://schemas.openxmlformats.org/officeDocument/2006/relationships/hyperlink" Target="https://www.linkedin.com/in/sandeep-gavali" TargetMode="External" Id="rId10" /><Relationship Type="http://schemas.openxmlformats.org/officeDocument/2006/relationships/hyperlink" Target="https://www.linkedin.com/in/quinnthai11" TargetMode="External" Id="rId11" /><Relationship Type="http://schemas.openxmlformats.org/officeDocument/2006/relationships/hyperlink" Target="https://www.linkedin.com/in/quinnthai11" TargetMode="External" Id="rId12" /><Relationship Type="http://schemas.openxmlformats.org/officeDocument/2006/relationships/hyperlink" Target="https://www.linkedin.com/in/oanh-nguyen-748213214" TargetMode="External" Id="rId13" /><Relationship Type="http://schemas.openxmlformats.org/officeDocument/2006/relationships/hyperlink" Target="https://www.linkedin.com/in/thinh-nguyen-nht" TargetMode="External" Id="rId14" /><Relationship Type="http://schemas.openxmlformats.org/officeDocument/2006/relationships/hyperlink" Target="https://www.linkedin.com/in/jean-h-147a4924a" TargetMode="External" Id="rId15" /><Relationship Type="http://schemas.openxmlformats.org/officeDocument/2006/relationships/hyperlink" Target="https://www.linkedin.com/in/darrylpeacock" TargetMode="External" Id="rId16" /><Relationship Type="http://schemas.openxmlformats.org/officeDocument/2006/relationships/hyperlink" Target="https://www.linkedin.com/in/phuoclengoc0109" TargetMode="External" Id="rId17" /><Relationship Type="http://schemas.openxmlformats.org/officeDocument/2006/relationships/hyperlink" Target="https://www.linkedin.com/in/han-nguyen-78711143" TargetMode="External" Id="rId18" /><Relationship Type="http://schemas.openxmlformats.org/officeDocument/2006/relationships/hyperlink" Target="https://www.linkedin.com/in/haiphamtuanvn" TargetMode="External" Id="rId19" /><Relationship Type="http://schemas.openxmlformats.org/officeDocument/2006/relationships/hyperlink" Target="https://www.linkedin.com/in/richard-hoang-45303a124" TargetMode="External" Id="rId20" /><Relationship Type="http://schemas.openxmlformats.org/officeDocument/2006/relationships/hyperlink" Target="https://www.linkedin.com/in/edison-mai-614140184" TargetMode="External" Id="rId21" /><Relationship Type="http://schemas.openxmlformats.org/officeDocument/2006/relationships/hyperlink" Target="https://www.linkedin.com/in/pvh221078" TargetMode="External" Id="rId22" /><Relationship Type="http://schemas.openxmlformats.org/officeDocument/2006/relationships/hyperlink" Target="https://www.linkedin.com/in/nguyen-van-hung-bb824a63" TargetMode="External" Id="rId23" /><Relationship Type="http://schemas.openxmlformats.org/officeDocument/2006/relationships/hyperlink" Target="https://www.linkedin.com/in/nxtai" TargetMode="External" Id="rId24" /><Relationship Type="http://schemas.openxmlformats.org/officeDocument/2006/relationships/hyperlink" Target="https://www.linkedin.com/in/patricia-marques-88802770" TargetMode="External" Id="rId25" /><Relationship Type="http://schemas.openxmlformats.org/officeDocument/2006/relationships/hyperlink" Target="https://www.linkedin.com/in/vivek-jain-78875a4" TargetMode="External" Id="rId26" /><Relationship Type="http://schemas.openxmlformats.org/officeDocument/2006/relationships/hyperlink" Target="https://www.linkedin.com/in/tr&#224;-nguy&#7877;n-2a32ab18" TargetMode="External" Id="rId27" /><Relationship Type="http://schemas.openxmlformats.org/officeDocument/2006/relationships/hyperlink" Target="https://www.linkedin.com/in/jan-willem-h-ba7b8812b" TargetMode="External" Id="rId28" /><Relationship Type="http://schemas.openxmlformats.org/officeDocument/2006/relationships/hyperlink" Target="https://www.linkedin.com/in/chan-dong-huynh-96673117a" TargetMode="External" Id="rId2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toan-pham-26419174" TargetMode="External" Id="rId1" /><Relationship Type="http://schemas.openxmlformats.org/officeDocument/2006/relationships/hyperlink" Target="https://www.linkedin.com/in/thao-nguyen-accounting-manager" TargetMode="External" Id="rId2" /><Relationship Type="http://schemas.openxmlformats.org/officeDocument/2006/relationships/hyperlink" Target="https://www.linkedin.com/in/loan-phan-968aa4140" TargetMode="External" Id="rId3" /><Relationship Type="http://schemas.openxmlformats.org/officeDocument/2006/relationships/hyperlink" Target="https://www.linkedin.com/in/luong-vo-minh-dung-08785387" TargetMode="External" Id="rId4" /><Relationship Type="http://schemas.openxmlformats.org/officeDocument/2006/relationships/hyperlink" Target="https://www.linkedin.com/in/ngu-nguyen-6130546b" TargetMode="External" Id="rId5" /><Relationship Type="http://schemas.openxmlformats.org/officeDocument/2006/relationships/hyperlink" Target="https://www.linkedin.com/in/&#273;&#7913;c-qu&#253;-nguy&#7877;n-b37128242" TargetMode="External" Id="rId6" /><Relationship Type="http://schemas.openxmlformats.org/officeDocument/2006/relationships/hyperlink" Target="https://www.linkedin.com/in/darren-harding-19235644" TargetMode="External" Id="rId7" /><Relationship Type="http://schemas.openxmlformats.org/officeDocument/2006/relationships/hyperlink" Target="https://www.linkedin.com/in/kongphanrecruitment" TargetMode="External" Id="rId8" /><Relationship Type="http://schemas.openxmlformats.org/officeDocument/2006/relationships/hyperlink" Target="https://www.linkedin.com/in/trangbub" TargetMode="External" Id="rId9" /><Relationship Type="http://schemas.openxmlformats.org/officeDocument/2006/relationships/hyperlink" Target="https://www.linkedin.com/in/laurent-pauloin" TargetMode="External" Id="rId10" /><Relationship Type="http://schemas.openxmlformats.org/officeDocument/2006/relationships/hyperlink" Target="https://www.linkedin.com/in/phuc-tran-a21825150" TargetMode="External" Id="rId11" /><Relationship Type="http://schemas.openxmlformats.org/officeDocument/2006/relationships/hyperlink" Target="https://www.linkedin.com/in/quyen-nguyen-b57a333b8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18" customWidth="1" min="4" max="4"/>
    <col width="26" customWidth="1" min="5" max="5"/>
    <col width="26" customWidth="1" min="6" max="6"/>
    <col width="14" customWidth="1" min="7" max="7"/>
    <col width="32" customWidth="1" min="8" max="8"/>
    <col width="11" customWidth="1" min="9" max="9"/>
    <col width="11" customWidth="1" min="10" max="10"/>
    <col width="45" customWidth="1" min="11" max="11"/>
    <col width="30" customWidth="1" min="12" max="12"/>
    <col width="9" customWidth="1" min="13" max="13"/>
    <col width="38" customWidth="1" min="14" max="14"/>
    <col width="40" customWidth="1" min="15" max="15"/>
    <col width="14" customWidth="1" min="16" max="16"/>
    <col width="12" customWidth="1" min="17" max="17"/>
    <col width="14" customWidth="1" min="18" max="18"/>
    <col width="15" customWidth="1" min="19" max="19"/>
    <col width="22" customWidth="1" min="20" max="20"/>
    <col width="30" customWidth="1" min="21" max="21"/>
  </cols>
  <sheetData>
    <row r="1" ht="32" customHeight="1">
      <c r="A1" s="1" t="inlineStr">
        <is>
          <t>STT</t>
        </is>
      </c>
      <c r="B1" s="1" t="inlineStr">
        <is>
          <t>Nhóm</t>
        </is>
      </c>
      <c r="C1" s="1" t="inlineStr">
        <is>
          <t>Mã</t>
        </is>
      </c>
      <c r="D1" s="1" t="inlineStr">
        <is>
          <t>Họ tên</t>
        </is>
      </c>
      <c r="E1" s="1" t="inlineStr">
        <is>
          <t>Chức danh</t>
        </is>
      </c>
      <c r="F1" s="1" t="inlineStr">
        <is>
          <t>Công ty</t>
        </is>
      </c>
      <c r="G1" s="1" t="inlineStr">
        <is>
          <t>Địa điểm</t>
        </is>
      </c>
      <c r="H1" s="1" t="inlineStr">
        <is>
          <t>Kinh nghiệm điều hành FMCG/F&amp;B</t>
        </is>
      </c>
      <c r="I1" s="1" t="inlineStr">
        <is>
          <t>Open to Work</t>
        </is>
      </c>
      <c r="J1" s="1" t="inlineStr">
        <is>
          <t>Ngày tín hiệu</t>
        </is>
      </c>
      <c r="K1" s="1" t="inlineStr">
        <is>
          <t>Bằng chứng</t>
        </is>
      </c>
      <c r="L1" s="1" t="inlineStr">
        <is>
          <t>URL bằng chứng</t>
        </is>
      </c>
      <c r="M1" s="1" t="inlineStr">
        <is>
          <t>Điểm phù hợp</t>
        </is>
      </c>
      <c r="N1" s="1" t="inlineStr">
        <is>
          <t>Điểm cần lưu ý</t>
        </is>
      </c>
      <c r="O1" s="1" t="inlineStr">
        <is>
          <t>LinkedIn</t>
        </is>
      </c>
      <c r="P1" s="1" t="inlineStr">
        <is>
          <t>Đã liên hệ?</t>
        </is>
      </c>
      <c r="Q1" s="1" t="inlineStr">
        <is>
          <t>Ngày liên hệ</t>
        </is>
      </c>
      <c r="R1" s="1" t="inlineStr">
        <is>
          <t>Kênh liên hệ</t>
        </is>
      </c>
      <c r="S1" s="1" t="inlineStr">
        <is>
          <t>Phản hồi</t>
        </is>
      </c>
      <c r="T1" s="1" t="inlineStr">
        <is>
          <t>Trạng thái công việc</t>
        </is>
      </c>
      <c r="U1" s="1" t="inlineStr">
        <is>
          <t>Ghi chú của bạn</t>
        </is>
      </c>
    </row>
    <row r="2">
      <c r="A2" s="2" t="n">
        <v>1</v>
      </c>
      <c r="B2" s="2" t="inlineStr">
        <is>
          <t>Chính</t>
        </is>
      </c>
      <c r="C2" s="2" t="inlineStr">
        <is>
          <t>GDDH-001</t>
        </is>
      </c>
      <c r="D2" s="2" t="inlineStr">
        <is>
          <t>Khoa Nguyen</t>
        </is>
      </c>
      <c r="E2" s="2" t="inlineStr">
        <is>
          <t>F&amp;B Operations Director (Culinary Expert)</t>
        </is>
      </c>
      <c r="F2" s="2" t="inlineStr">
        <is>
          <t>NovaDreams</t>
        </is>
      </c>
      <c r="G2" s="2" t="inlineStr">
        <is>
          <t>Ho Chi Minh City, Vietnam</t>
        </is>
      </c>
      <c r="H2" s="2" t="inlineStr">
        <is>
          <t>Giám đốc vận hành F&amp;B tại NovaDreams (NovaGroup), có nền tảng culinary/bếp</t>
        </is>
      </c>
      <c r="I2" s="2" t="inlineStr">
        <is>
          <t>confirmed</t>
        </is>
      </c>
      <c r="J2" s="2" t="inlineStr">
        <is>
          <t>2026-10-08 (thời điểm quét)</t>
        </is>
      </c>
      <c r="K2" s="2" t="inlineStr">
        <is>
          <t>openToWork=true trên hồ sơ LinkedIn (harvestapi Full); headline "F&amp;B Operation Director"</t>
        </is>
      </c>
      <c r="L2" s="3" t="inlineStr">
        <is>
          <t>https://www.linkedin.com/in/khoa-nguyen-anh-4bab941a3</t>
        </is>
      </c>
      <c r="M2" s="2" t="n">
        <v>72</v>
      </c>
      <c r="N2" s="2" t="inlineStr">
        <is>
          <t>Chưa rõ quy mô P&amp;L/số nhân sự quản lý; Chưa rõ kinh nghiệm FMCG (thiên về F&amp;B/hospitality)</t>
        </is>
      </c>
      <c r="O2" s="3" t="inlineStr">
        <is>
          <t>https://www.linkedin.com/in/khoa-nguyen-anh-4bab941a3</t>
        </is>
      </c>
      <c r="P2" s="4" t="inlineStr">
        <is>
          <t>Chưa liên hệ</t>
        </is>
      </c>
      <c r="Q2" s="5" t="n"/>
      <c r="R2" s="4" t="n"/>
      <c r="S2" s="4" t="inlineStr">
        <is>
          <t>Chưa phản hồi</t>
        </is>
      </c>
      <c r="T2" s="4" t="inlineStr">
        <is>
          <t>Chưa xác minh</t>
        </is>
      </c>
      <c r="U2" s="4" t="n"/>
    </row>
    <row r="3">
      <c r="A3" s="2" t="n">
        <v>2</v>
      </c>
      <c r="B3" s="2" t="inlineStr">
        <is>
          <t>Chính</t>
        </is>
      </c>
      <c r="C3" s="2" t="inlineStr">
        <is>
          <t>GDDH-002</t>
        </is>
      </c>
      <c r="D3" s="2" t="inlineStr">
        <is>
          <t>Thang Nguyen</t>
        </is>
      </c>
      <c r="E3" s="2" t="inlineStr">
        <is>
          <t>General Manager (Senior GM F&amp;B), CMA</t>
        </is>
      </c>
      <c r="F3" s="2" t="inlineStr">
        <is>
          <t>F.C.C CO</t>
        </is>
      </c>
      <c r="G3" s="2" t="inlineStr">
        <is>
          <t>Ho Chi Minh City, Vietnam</t>
        </is>
      </c>
      <c r="H3" s="2" t="inlineStr">
        <is>
          <t>8+ năm vận hành chuỗi F&amp;B multi-unit; GM F.C.C CO (04/2024–nay); Assistant CEO &amp; Restaurant Manager Lão Concepts Holding (2022–2023); CMA, mạnh P&amp;L/cost control</t>
        </is>
      </c>
      <c r="I3" s="2" t="inlineStr">
        <is>
          <t>confirmed</t>
        </is>
      </c>
      <c r="J3" s="2" t="inlineStr">
        <is>
          <t>2026-10-08 (thời điểm quét)</t>
        </is>
      </c>
      <c r="K3" s="2" t="inlineStr">
        <is>
          <t>openToWork=true trên hồ sơ LinkedIn (harvestapi Full)</t>
        </is>
      </c>
      <c r="L3" s="3" t="inlineStr">
        <is>
          <t>https://www.linkedin.com/in/thang-nguyen-9a2786187</t>
        </is>
      </c>
      <c r="M3" s="2" t="n">
        <v>70</v>
      </c>
      <c r="N3" s="2" t="inlineStr">
        <is>
          <t>Kinh nghiệm cấp C-level còn ngắn (GM từ 2024); Chưa có FMCG sản xuất/phân phối</t>
        </is>
      </c>
      <c r="O3" s="3" t="inlineStr">
        <is>
          <t>https://www.linkedin.com/in/thang-nguyen-9a2786187</t>
        </is>
      </c>
      <c r="P3" s="4" t="inlineStr">
        <is>
          <t>Chưa liên hệ</t>
        </is>
      </c>
      <c r="Q3" s="5" t="n"/>
      <c r="R3" s="4" t="n"/>
      <c r="S3" s="4" t="inlineStr">
        <is>
          <t>Chưa phản hồi</t>
        </is>
      </c>
      <c r="T3" s="4" t="inlineStr">
        <is>
          <t>Chưa xác minh</t>
        </is>
      </c>
      <c r="U3" s="4" t="n"/>
    </row>
    <row r="4">
      <c r="A4" s="2" t="n">
        <v>3</v>
      </c>
      <c r="B4" s="2" t="inlineStr">
        <is>
          <t>Chính</t>
        </is>
      </c>
      <c r="C4" s="2" t="inlineStr">
        <is>
          <t>GDDH-003</t>
        </is>
      </c>
      <c r="D4" s="2" t="inlineStr">
        <is>
          <t>nhat nguyen the duc</t>
        </is>
      </c>
      <c r="E4" s="2" t="inlineStr">
        <is>
          <t>Chief Commercial Officer (CCO) / Head of Sales</t>
        </is>
      </c>
      <c r="F4" s="2" t="inlineStr">
        <is>
          <t>Delice Food; FMCG Company</t>
        </is>
      </c>
      <c r="G4" s="2" t="inlineStr">
        <is>
          <t>Ho Chi Minh City, Vietnam</t>
        </is>
      </c>
      <c r="H4" s="2" t="inlineStr">
        <is>
          <t>CCO Delice Food (05/2023–nay), Head of Sales FMCG Company (09/2023–nay), Sales Director Vietinter Food (01/2024–03/2025)</t>
        </is>
      </c>
      <c r="I4" s="2" t="inlineStr">
        <is>
          <t>probable</t>
        </is>
      </c>
      <c r="J4" s="2" t="inlineStr">
        <is>
          <t>2026-10-08 (thời điểm quét)</t>
        </is>
      </c>
      <c r="K4" s="2" t="inlineStr">
        <is>
          <t>Headline LinkedIn: "Open to work" (cờ openToWork của nền tảng = false)</t>
        </is>
      </c>
      <c r="L4" s="3" t="inlineStr">
        <is>
          <t>https://www.linkedin.com/in/nhat-nguyen-the-duc-47664986</t>
        </is>
      </c>
      <c r="M4" s="2" t="n">
        <v>68</v>
      </c>
      <c r="N4" s="2" t="inlineStr">
        <is>
          <t>Kinh nghiệm thiên về thương mại/kinh doanh, chưa rõ vận hành tổng thể; Đã có trong danh sách TP Kinh doanh FMCG (FMCG) – tránh liên hệ trùng</t>
        </is>
      </c>
      <c r="O4" s="3" t="inlineStr">
        <is>
          <t>https://www.linkedin.com/in/nhat-nguyen-the-duc-47664986</t>
        </is>
      </c>
      <c r="P4" s="4" t="inlineStr">
        <is>
          <t>Chưa liên hệ</t>
        </is>
      </c>
      <c r="Q4" s="5" t="n"/>
      <c r="R4" s="4" t="n"/>
      <c r="S4" s="4" t="inlineStr">
        <is>
          <t>Chưa phản hồi</t>
        </is>
      </c>
      <c r="T4" s="4" t="inlineStr">
        <is>
          <t>Chưa xác minh</t>
        </is>
      </c>
      <c r="U4" s="4" t="n"/>
    </row>
    <row r="5">
      <c r="A5" s="2" t="n">
        <v>4</v>
      </c>
      <c r="B5" s="2" t="inlineStr">
        <is>
          <t>Chính</t>
        </is>
      </c>
      <c r="C5" s="2" t="inlineStr">
        <is>
          <t>GDDH-004</t>
        </is>
      </c>
      <c r="D5" s="2" t="inlineStr">
        <is>
          <t>UYEN TRỊNH</t>
        </is>
      </c>
      <c r="E5" s="2" t="inlineStr">
        <is>
          <t>F&amp;B Business Consultant; nguyên Director of Operations</t>
        </is>
      </c>
      <c r="F5" s="2" t="inlineStr">
        <is>
          <t>Fiverr (freelance); nguyên Sargon Bistro &amp; Rooftop</t>
        </is>
      </c>
      <c r="G5" s="2" t="inlineStr">
        <is>
          <t>Ho Chi Minh City, Vietnam</t>
        </is>
      </c>
      <c r="H5" s="2" t="inlineStr">
        <is>
          <t>24 năm F&amp;B &amp; lifestyle; Director of Operations Sargon (2022–2023); General Manager Chu Teo Food Company (2015–2020); ex-Hum, La Maison</t>
        </is>
      </c>
      <c r="I5" s="2" t="inlineStr">
        <is>
          <t>confirmed</t>
        </is>
      </c>
      <c r="J5" s="2" t="inlineStr">
        <is>
          <t>2026-10-08 (thời điểm quét)</t>
        </is>
      </c>
      <c r="K5" s="2" t="inlineStr">
        <is>
          <t>openToWork=true trên hồ sơ LinkedIn (harvestapi Full)</t>
        </is>
      </c>
      <c r="L5" s="3" t="inlineStr">
        <is>
          <t>https://www.linkedin.com/in/uyen-trịnh-0417903a5</t>
        </is>
      </c>
      <c r="M5" s="2" t="n">
        <v>64</v>
      </c>
      <c r="N5" s="2" t="inlineStr">
        <is>
          <t>Quy mô doanh nghiệp từng điều hành nhỏ/vừa (nhà hàng); Không có FMCG</t>
        </is>
      </c>
      <c r="O5" s="3" t="inlineStr">
        <is>
          <t>https://www.linkedin.com/in/uyen-trịnh-0417903a5</t>
        </is>
      </c>
      <c r="P5" s="4" t="inlineStr">
        <is>
          <t>Chưa liên hệ</t>
        </is>
      </c>
      <c r="Q5" s="5" t="n"/>
      <c r="R5" s="4" t="n"/>
      <c r="S5" s="4" t="inlineStr">
        <is>
          <t>Chưa phản hồi</t>
        </is>
      </c>
      <c r="T5" s="4" t="inlineStr">
        <is>
          <t>Chưa xác minh</t>
        </is>
      </c>
      <c r="U5" s="4" t="n"/>
    </row>
    <row r="6">
      <c r="A6" s="2" t="n">
        <v>5</v>
      </c>
      <c r="B6" s="2" t="inlineStr">
        <is>
          <t>Chính</t>
        </is>
      </c>
      <c r="C6" s="2" t="inlineStr">
        <is>
          <t>GDDH-005</t>
        </is>
      </c>
      <c r="D6" s="2" t="inlineStr">
        <is>
          <t>Sandeep Gavali</t>
        </is>
      </c>
      <c r="E6" s="2" t="inlineStr">
        <is>
          <t>R&amp;D Director (Product Commercialization &amp; OEM Strategy)</t>
        </is>
      </c>
      <c r="F6" s="2" t="inlineStr">
        <is>
          <t>Nissin Foods Vietnam</t>
        </is>
      </c>
      <c r="G6" s="2" t="inlineStr">
        <is>
          <t>Ho Chi Minh City, Vietnam</t>
        </is>
      </c>
      <c r="H6" s="2" t="inlineStr">
        <is>
          <t>FMCG thực phẩm: R&amp;D Director Nissin Foods VN (05/2024–nay), 6+ năm Nissin Foods Asia; IE MBA; tiếng Nhật N2</t>
        </is>
      </c>
      <c r="I6" s="2" t="inlineStr">
        <is>
          <t>probable</t>
        </is>
      </c>
      <c r="J6" s="2" t="inlineStr">
        <is>
          <t>2026-10-08 (thời điểm quét)</t>
        </is>
      </c>
      <c r="K6" s="2" t="inlineStr">
        <is>
          <t>Headline LinkedIn: "Open to Director+ Roles in FMCG" (cờ openToWork = false)</t>
        </is>
      </c>
      <c r="L6" s="3" t="inlineStr">
        <is>
          <t>https://www.linkedin.com/in/sandeep-gavali</t>
        </is>
      </c>
      <c r="M6" s="2" t="n">
        <v>58</v>
      </c>
      <c r="N6" s="2" t="inlineStr">
        <is>
          <t>Chuyên môn R&amp;D/thương mại hóa, chưa từng giữ vai trò CEO/GM điều hành chung; Người nước ngoài – cần xác nhận kỳ vọng lương</t>
        </is>
      </c>
      <c r="O6" s="3" t="inlineStr">
        <is>
          <t>https://www.linkedin.com/in/sandeep-gavali</t>
        </is>
      </c>
      <c r="P6" s="4" t="inlineStr">
        <is>
          <t>Chưa liên hệ</t>
        </is>
      </c>
      <c r="Q6" s="5" t="n"/>
      <c r="R6" s="4" t="n"/>
      <c r="S6" s="4" t="inlineStr">
        <is>
          <t>Chưa phản hồi</t>
        </is>
      </c>
      <c r="T6" s="4" t="inlineStr">
        <is>
          <t>Chưa xác minh</t>
        </is>
      </c>
      <c r="U6" s="4" t="n"/>
    </row>
    <row r="7">
      <c r="A7" s="2" t="n">
        <v>6</v>
      </c>
      <c r="B7" s="2" t="inlineStr">
        <is>
          <t>Chính</t>
        </is>
      </c>
      <c r="C7" s="2" t="inlineStr">
        <is>
          <t>GDDH-006</t>
        </is>
      </c>
      <c r="D7" s="2" t="inlineStr">
        <is>
          <t>Quinn Thái</t>
        </is>
      </c>
      <c r="E7" s="2" t="inlineStr">
        <is>
          <t>Founder &amp; Director; F&amp;B Consultant</t>
        </is>
      </c>
      <c r="F7" s="2" t="inlineStr">
        <is>
          <t>MVerse Media; nguyên GM &amp; Co-Founder Snuffbox Speakeasy</t>
        </is>
      </c>
      <c r="G7" s="2" t="inlineStr">
        <is>
          <t>Ho Chi Minh City, Vietnam</t>
        </is>
      </c>
      <c r="H7" s="2" t="inlineStr">
        <is>
          <t>GM &amp; Co-Founder Snuffbox Speakeasy 9 năm (2015–2024, Top 500 Bars thế giới); F&amp;B Manager Della Group (2024–nay)</t>
        </is>
      </c>
      <c r="I7" s="2" t="inlineStr">
        <is>
          <t>confirmed</t>
        </is>
      </c>
      <c r="J7" s="2" t="inlineStr">
        <is>
          <t>2026-10-08 (thời điểm quét)</t>
        </is>
      </c>
      <c r="K7" s="2" t="inlineStr">
        <is>
          <t>openToWork=true trên hồ sơ LinkedIn (harvestapi Full)</t>
        </is>
      </c>
      <c r="L7" s="3" t="inlineStr">
        <is>
          <t>https://www.linkedin.com/in/quinnthai11</t>
        </is>
      </c>
      <c r="M7" s="2" t="n">
        <v>50</v>
      </c>
      <c r="N7" s="2" t="inlineStr">
        <is>
          <t>Quy mô bar/nhà hàng, chưa điều hành doanh nghiệp lớn; Không có FMCG</t>
        </is>
      </c>
      <c r="O7" s="3" t="inlineStr">
        <is>
          <t>https://www.linkedin.com/in/quinnthai11</t>
        </is>
      </c>
      <c r="P7" s="4" t="inlineStr">
        <is>
          <t>Chưa liên hệ</t>
        </is>
      </c>
      <c r="Q7" s="5" t="n"/>
      <c r="R7" s="4" t="n"/>
      <c r="S7" s="4" t="inlineStr">
        <is>
          <t>Chưa phản hồi</t>
        </is>
      </c>
      <c r="T7" s="4" t="inlineStr">
        <is>
          <t>Chưa xác minh</t>
        </is>
      </c>
      <c r="U7" s="4" t="n"/>
    </row>
    <row r="8">
      <c r="A8" s="2" t="n">
        <v>7</v>
      </c>
      <c r="B8" s="2" t="inlineStr">
        <is>
          <t>Theo dõi</t>
        </is>
      </c>
      <c r="C8" s="2" t="inlineStr">
        <is>
          <t>GDDH-W01</t>
        </is>
      </c>
      <c r="D8" s="2" t="inlineStr">
        <is>
          <t>Oanh Nguyen</t>
        </is>
      </c>
      <c r="E8" s="2" t="inlineStr">
        <is>
          <t>Independent Business &amp; Operations Advisor (06/2024–nay)</t>
        </is>
      </c>
      <c r="F8" s="2" t="inlineStr">
        <is>
          <t>Confidential; nguyên CEO dan-d pak foods</t>
        </is>
      </c>
      <c r="G8" s="2" t="inlineStr">
        <is>
          <t>Ho Chi Minh City, Vietnam</t>
        </is>
      </c>
      <c r="H8" s="2" t="inlineStr">
        <is>
          <t>Headline "CEO | COO | Managing Director - Food Manufacturing &amp; FMCG | Turnaround"; CEO dan-d pak foods 2020–04/2024, CEO Milli Group. Đang làm advisor tự do → khả năng sẵn sàng cao</t>
        </is>
      </c>
      <c r="I8" s="2" t="inlineStr">
        <is>
          <t>unverified</t>
        </is>
      </c>
      <c r="J8" s="2" t="inlineStr"/>
      <c r="K8" s="2" t="inlineStr">
        <is>
          <t>Chưa thấy tín hiệu tìm việc công khai</t>
        </is>
      </c>
      <c r="L8" s="2" t="inlineStr"/>
      <c r="M8" s="2" t="n"/>
      <c r="N8" s="2" t="inlineStr">
        <is>
          <t>Cần hỏi trực tiếp nhu cầu chuyển việc</t>
        </is>
      </c>
      <c r="O8" s="3" t="inlineStr">
        <is>
          <t>https://www.linkedin.com/in/oanh-nguyen-748213214</t>
        </is>
      </c>
      <c r="P8" s="4" t="inlineStr">
        <is>
          <t>Chưa liên hệ</t>
        </is>
      </c>
      <c r="Q8" s="5" t="n"/>
      <c r="R8" s="4" t="n"/>
      <c r="S8" s="4" t="inlineStr">
        <is>
          <t>Chưa phản hồi</t>
        </is>
      </c>
      <c r="T8" s="4" t="inlineStr">
        <is>
          <t>Chưa xác minh</t>
        </is>
      </c>
      <c r="U8" s="4" t="n"/>
    </row>
    <row r="9">
      <c r="A9" s="2" t="n">
        <v>8</v>
      </c>
      <c r="B9" s="2" t="inlineStr">
        <is>
          <t>Theo dõi</t>
        </is>
      </c>
      <c r="C9" s="2" t="inlineStr">
        <is>
          <t>GDDH-W02</t>
        </is>
      </c>
      <c r="D9" s="2" t="inlineStr">
        <is>
          <t>Thinh Nguyen</t>
        </is>
      </c>
      <c r="E9" s="2" t="inlineStr">
        <is>
          <t>Board Advisor (04/2026–nay)</t>
        </is>
      </c>
      <c r="F9" s="2" t="inlineStr">
        <is>
          <t>McDonald's Vietnam; nguyên Managing Director 2013–04/2026</t>
        </is>
      </c>
      <c r="G9" s="2" t="inlineStr">
        <is>
          <t>Ho Chi Minh City, Vietnam</t>
        </is>
      </c>
      <c r="H9" s="2" t="inlineStr">
        <is>
          <t>Vừa rời vai trò MD McDonald's VN sau 13 năm, nay là Board Advisor; ex-BAT Regional Director</t>
        </is>
      </c>
      <c r="I9" s="2" t="inlineStr">
        <is>
          <t>unverified</t>
        </is>
      </c>
      <c r="J9" s="2" t="inlineStr"/>
      <c r="K9" s="2" t="inlineStr">
        <is>
          <t>Chưa thấy tín hiệu tìm việc công khai</t>
        </is>
      </c>
      <c r="L9" s="2" t="inlineStr"/>
      <c r="M9" s="2" t="n"/>
      <c r="N9" s="2" t="inlineStr">
        <is>
          <t>Cần hỏi trực tiếp nhu cầu chuyển việc</t>
        </is>
      </c>
      <c r="O9" s="3" t="inlineStr">
        <is>
          <t>https://www.linkedin.com/in/thinh-nguyen-nht</t>
        </is>
      </c>
      <c r="P9" s="4" t="inlineStr">
        <is>
          <t>Chưa liên hệ</t>
        </is>
      </c>
      <c r="Q9" s="5" t="n"/>
      <c r="R9" s="4" t="n"/>
      <c r="S9" s="4" t="inlineStr">
        <is>
          <t>Chưa phản hồi</t>
        </is>
      </c>
      <c r="T9" s="4" t="inlineStr">
        <is>
          <t>Chưa xác minh</t>
        </is>
      </c>
      <c r="U9" s="4" t="n"/>
    </row>
    <row r="10">
      <c r="A10" s="2" t="n">
        <v>9</v>
      </c>
      <c r="B10" s="2" t="inlineStr">
        <is>
          <t>Theo dõi</t>
        </is>
      </c>
      <c r="C10" s="2" t="inlineStr">
        <is>
          <t>GDDH-W03</t>
        </is>
      </c>
      <c r="D10" s="2" t="inlineStr">
        <is>
          <t>jean H.</t>
        </is>
      </c>
      <c r="E10" s="2" t="inlineStr">
        <is>
          <t>FnB Advisor</t>
        </is>
      </c>
      <c r="F10" s="2" t="inlineStr">
        <is>
          <t>NS Gourmet; nguyên Director General Life Time Health, F&amp;B Senior Manager Central Retail</t>
        </is>
      </c>
      <c r="G10" s="2" t="inlineStr">
        <is>
          <t>Ho Chi Minh City, Vietnam</t>
        </is>
      </c>
      <c r="H10" s="2" t="inlineStr">
        <is>
          <t>Headline "Managing director… 27 year's FnB experience"; hiện là advisor</t>
        </is>
      </c>
      <c r="I10" s="2" t="inlineStr">
        <is>
          <t>unverified</t>
        </is>
      </c>
      <c r="J10" s="2" t="inlineStr"/>
      <c r="K10" s="2" t="inlineStr">
        <is>
          <t>Chưa thấy tín hiệu tìm việc công khai</t>
        </is>
      </c>
      <c r="L10" s="2" t="inlineStr"/>
      <c r="M10" s="2" t="n"/>
      <c r="N10" s="2" t="inlineStr">
        <is>
          <t>Cần hỏi trực tiếp nhu cầu chuyển việc</t>
        </is>
      </c>
      <c r="O10" s="3" t="inlineStr">
        <is>
          <t>https://www.linkedin.com/in/jean-h-147a4924a</t>
        </is>
      </c>
      <c r="P10" s="4" t="inlineStr">
        <is>
          <t>Chưa liên hệ</t>
        </is>
      </c>
      <c r="Q10" s="5" t="n"/>
      <c r="R10" s="4" t="n"/>
      <c r="S10" s="4" t="inlineStr">
        <is>
          <t>Chưa phản hồi</t>
        </is>
      </c>
      <c r="T10" s="4" t="inlineStr">
        <is>
          <t>Chưa xác minh</t>
        </is>
      </c>
      <c r="U10" s="4" t="n"/>
    </row>
    <row r="11">
      <c r="A11" s="2" t="n">
        <v>10</v>
      </c>
      <c r="B11" s="2" t="inlineStr">
        <is>
          <t>Theo dõi</t>
        </is>
      </c>
      <c r="C11" s="2" t="inlineStr">
        <is>
          <t>GDDH-W04</t>
        </is>
      </c>
      <c r="D11" s="2" t="inlineStr">
        <is>
          <t>Darryl Peacock</t>
        </is>
      </c>
      <c r="E11" s="2" t="inlineStr">
        <is>
          <t>Senior Business Consultant (Independent); Regional Director APAC</t>
        </is>
      </c>
      <c r="F11" s="2" t="inlineStr">
        <is>
          <t>Confidential; nguyên VP Country GM MAP Active Vietnam &amp; Cambodia</t>
        </is>
      </c>
      <c r="G11" s="2" t="inlineStr">
        <is>
          <t>Ho Chi Minh City, Vietnam</t>
        </is>
      </c>
      <c r="H11" s="2" t="inlineStr">
        <is>
          <t>30+ năm điều hành consumer/retail, P&amp;L quốc gia; đang consultant độc lập</t>
        </is>
      </c>
      <c r="I11" s="2" t="inlineStr">
        <is>
          <t>unverified</t>
        </is>
      </c>
      <c r="J11" s="2" t="inlineStr"/>
      <c r="K11" s="2" t="inlineStr">
        <is>
          <t>Chưa thấy tín hiệu tìm việc công khai</t>
        </is>
      </c>
      <c r="L11" s="2" t="inlineStr"/>
      <c r="M11" s="2" t="n"/>
      <c r="N11" s="2" t="inlineStr">
        <is>
          <t>Cần hỏi trực tiếp nhu cầu chuyển việc</t>
        </is>
      </c>
      <c r="O11" s="3" t="inlineStr">
        <is>
          <t>https://www.linkedin.com/in/darrylpeacock</t>
        </is>
      </c>
      <c r="P11" s="4" t="inlineStr">
        <is>
          <t>Chưa liên hệ</t>
        </is>
      </c>
      <c r="Q11" s="5" t="n"/>
      <c r="R11" s="4" t="n"/>
      <c r="S11" s="4" t="inlineStr">
        <is>
          <t>Chưa phản hồi</t>
        </is>
      </c>
      <c r="T11" s="4" t="inlineStr">
        <is>
          <t>Chưa xác minh</t>
        </is>
      </c>
      <c r="U11" s="4" t="n"/>
    </row>
    <row r="12">
      <c r="A12" s="2" t="n">
        <v>11</v>
      </c>
      <c r="B12" s="2" t="inlineStr">
        <is>
          <t>Theo dõi</t>
        </is>
      </c>
      <c r="C12" s="2" t="inlineStr">
        <is>
          <t>GDDH-W05</t>
        </is>
      </c>
      <c r="D12" s="2" t="inlineStr">
        <is>
          <t>Phuoc Le</t>
        </is>
      </c>
      <c r="E12" s="2" t="inlineStr">
        <is>
          <t>Founder &amp; Business Operations Consultant</t>
        </is>
      </c>
      <c r="F12" s="2" t="inlineStr">
        <is>
          <t>OPERION; nguyên GM Thong Hiep Group (2022–2024)</t>
        </is>
      </c>
      <c r="G12" s="2" t="inlineStr">
        <is>
          <t>Ho Chi Minh City, Vietnam</t>
        </is>
      </c>
      <c r="H12" s="2" t="inlineStr">
        <is>
          <t>15+ năm F&amp;B, chuỗi nhà hàng, retail; ex-VinCommerce, Popeyes</t>
        </is>
      </c>
      <c r="I12" s="2" t="inlineStr">
        <is>
          <t>unverified</t>
        </is>
      </c>
      <c r="J12" s="2" t="inlineStr"/>
      <c r="K12" s="2" t="inlineStr">
        <is>
          <t>Chưa thấy tín hiệu tìm việc công khai</t>
        </is>
      </c>
      <c r="L12" s="2" t="inlineStr"/>
      <c r="M12" s="2" t="n"/>
      <c r="N12" s="2" t="inlineStr">
        <is>
          <t>Cần hỏi trực tiếp nhu cầu chuyển việc</t>
        </is>
      </c>
      <c r="O12" s="3" t="inlineStr">
        <is>
          <t>https://www.linkedin.com/in/phuoclengoc0109</t>
        </is>
      </c>
      <c r="P12" s="4" t="inlineStr">
        <is>
          <t>Chưa liên hệ</t>
        </is>
      </c>
      <c r="Q12" s="5" t="n"/>
      <c r="R12" s="4" t="n"/>
      <c r="S12" s="4" t="inlineStr">
        <is>
          <t>Chưa phản hồi</t>
        </is>
      </c>
      <c r="T12" s="4" t="inlineStr">
        <is>
          <t>Chưa xác minh</t>
        </is>
      </c>
      <c r="U12" s="4" t="n"/>
    </row>
    <row r="13">
      <c r="A13" s="2" t="n">
        <v>12</v>
      </c>
      <c r="B13" s="2" t="inlineStr">
        <is>
          <t>Theo dõi</t>
        </is>
      </c>
      <c r="C13" s="2" t="inlineStr">
        <is>
          <t>GDDH-W06</t>
        </is>
      </c>
      <c r="D13" s="2" t="inlineStr">
        <is>
          <t>Han Nguyen</t>
        </is>
      </c>
      <c r="E13" s="2" t="inlineStr">
        <is>
          <t>Foodservice Country Manager (Vietnam &amp; Cambodia)</t>
        </is>
      </c>
      <c r="F13" s="2" t="inlineStr">
        <is>
          <t>Kerry</t>
        </is>
      </c>
      <c r="G13" s="2" t="inlineStr">
        <is>
          <t>Ho Chi Minh City, Vietnam</t>
        </is>
      </c>
      <c r="H13" s="2" t="inlineStr">
        <is>
          <t>Country Manager foodservice – FMCG nguyên liệu thực phẩm</t>
        </is>
      </c>
      <c r="I13" s="2" t="inlineStr">
        <is>
          <t>unverified</t>
        </is>
      </c>
      <c r="J13" s="2" t="inlineStr"/>
      <c r="K13" s="2" t="inlineStr">
        <is>
          <t>Chưa thấy tín hiệu tìm việc công khai</t>
        </is>
      </c>
      <c r="L13" s="2" t="inlineStr"/>
      <c r="M13" s="2" t="n"/>
      <c r="N13" s="2" t="inlineStr">
        <is>
          <t>Cần hỏi trực tiếp nhu cầu chuyển việc</t>
        </is>
      </c>
      <c r="O13" s="3" t="inlineStr">
        <is>
          <t>https://www.linkedin.com/in/han-nguyen-78711143</t>
        </is>
      </c>
      <c r="P13" s="4" t="inlineStr">
        <is>
          <t>Chưa liên hệ</t>
        </is>
      </c>
      <c r="Q13" s="5" t="n"/>
      <c r="R13" s="4" t="n"/>
      <c r="S13" s="4" t="inlineStr">
        <is>
          <t>Chưa phản hồi</t>
        </is>
      </c>
      <c r="T13" s="4" t="inlineStr">
        <is>
          <t>Chưa xác minh</t>
        </is>
      </c>
      <c r="U13" s="4" t="n"/>
    </row>
    <row r="14">
      <c r="A14" s="2" t="n">
        <v>13</v>
      </c>
      <c r="B14" s="2" t="inlineStr">
        <is>
          <t>Theo dõi</t>
        </is>
      </c>
      <c r="C14" s="2" t="inlineStr">
        <is>
          <t>GDDH-W07</t>
        </is>
      </c>
      <c r="D14" s="2" t="inlineStr">
        <is>
          <t>Hai Pham</t>
        </is>
      </c>
      <c r="E14" s="2" t="inlineStr">
        <is>
          <t>Founder | Global Deputy CEO | CEO</t>
        </is>
      </c>
      <c r="F14" s="2" t="inlineStr">
        <is>
          <t>nguyên KIDO Group, Diageo Vietnam, Go Cafe</t>
        </is>
      </c>
      <c r="G14" s="2" t="inlineStr">
        <is>
          <t>Ho Chi Minh City, Vietnam</t>
        </is>
      </c>
      <c r="H14" s="2" t="inlineStr">
        <is>
          <t>Kinh nghiệm C-level FMCG/F&amp;B (KIDO, Diageo)</t>
        </is>
      </c>
      <c r="I14" s="2" t="inlineStr">
        <is>
          <t>unverified</t>
        </is>
      </c>
      <c r="J14" s="2" t="inlineStr"/>
      <c r="K14" s="2" t="inlineStr">
        <is>
          <t>Chưa thấy tín hiệu tìm việc công khai</t>
        </is>
      </c>
      <c r="L14" s="2" t="inlineStr"/>
      <c r="M14" s="2" t="n"/>
      <c r="N14" s="2" t="inlineStr">
        <is>
          <t>Cần hỏi trực tiếp nhu cầu chuyển việc</t>
        </is>
      </c>
      <c r="O14" s="3" t="inlineStr">
        <is>
          <t>https://www.linkedin.com/in/haiphamtuanvn</t>
        </is>
      </c>
      <c r="P14" s="4" t="inlineStr">
        <is>
          <t>Chưa liên hệ</t>
        </is>
      </c>
      <c r="Q14" s="5" t="n"/>
      <c r="R14" s="4" t="n"/>
      <c r="S14" s="4" t="inlineStr">
        <is>
          <t>Chưa phản hồi</t>
        </is>
      </c>
      <c r="T14" s="4" t="inlineStr">
        <is>
          <t>Chưa xác minh</t>
        </is>
      </c>
      <c r="U14" s="4" t="n"/>
    </row>
    <row r="15">
      <c r="A15" s="2" t="n">
        <v>14</v>
      </c>
      <c r="B15" s="2" t="inlineStr">
        <is>
          <t>Theo dõi</t>
        </is>
      </c>
      <c r="C15" s="2" t="inlineStr">
        <is>
          <t>GDDH-W08</t>
        </is>
      </c>
      <c r="D15" s="2" t="inlineStr">
        <is>
          <t>Richard Hoang</t>
        </is>
      </c>
      <c r="E15" s="2" t="inlineStr">
        <is>
          <t>Managing Director</t>
        </is>
      </c>
      <c r="F15" s="2" t="inlineStr">
        <is>
          <t>F&amp;B manufacturing</t>
        </is>
      </c>
      <c r="G15" s="2" t="inlineStr">
        <is>
          <t>Ho Chi Minh City, Vietnam</t>
        </is>
      </c>
      <c r="H15" s="2" t="inlineStr">
        <is>
          <t>MD – General Management, Strategy &amp; Operations</t>
        </is>
      </c>
      <c r="I15" s="2" t="inlineStr">
        <is>
          <t>unverified</t>
        </is>
      </c>
      <c r="J15" s="2" t="inlineStr"/>
      <c r="K15" s="2" t="inlineStr">
        <is>
          <t>Chưa thấy tín hiệu tìm việc công khai</t>
        </is>
      </c>
      <c r="L15" s="2" t="inlineStr"/>
      <c r="M15" s="2" t="n"/>
      <c r="N15" s="2" t="inlineStr">
        <is>
          <t>Cần hỏi trực tiếp nhu cầu chuyển việc</t>
        </is>
      </c>
      <c r="O15" s="3" t="inlineStr">
        <is>
          <t>https://www.linkedin.com/in/richard-hoang-45303a124</t>
        </is>
      </c>
      <c r="P15" s="4" t="inlineStr">
        <is>
          <t>Chưa liên hệ</t>
        </is>
      </c>
      <c r="Q15" s="5" t="n"/>
      <c r="R15" s="4" t="n"/>
      <c r="S15" s="4" t="inlineStr">
        <is>
          <t>Chưa phản hồi</t>
        </is>
      </c>
      <c r="T15" s="4" t="inlineStr">
        <is>
          <t>Chưa xác minh</t>
        </is>
      </c>
      <c r="U15" s="4" t="n"/>
    </row>
    <row r="16">
      <c r="A16" s="2" t="n">
        <v>15</v>
      </c>
      <c r="B16" s="2" t="inlineStr">
        <is>
          <t>Theo dõi</t>
        </is>
      </c>
      <c r="C16" s="2" t="inlineStr">
        <is>
          <t>GDDH-W09</t>
        </is>
      </c>
      <c r="D16" s="2" t="inlineStr">
        <is>
          <t>Edison Mai</t>
        </is>
      </c>
      <c r="E16" s="2" t="inlineStr">
        <is>
          <t>CEO</t>
        </is>
      </c>
      <c r="F16" s="2" t="inlineStr">
        <is>
          <t>F&amp;B</t>
        </is>
      </c>
      <c r="G16" s="2" t="inlineStr">
        <is>
          <t>Ho Chi Minh City, Vietnam</t>
        </is>
      </c>
      <c r="H16" s="2" t="inlineStr">
        <is>
          <t>CEO lĩnh vực F&amp;B tại TP.HCM</t>
        </is>
      </c>
      <c r="I16" s="2" t="inlineStr">
        <is>
          <t>unverified</t>
        </is>
      </c>
      <c r="J16" s="2" t="inlineStr"/>
      <c r="K16" s="2" t="inlineStr">
        <is>
          <t>Chưa thấy tín hiệu tìm việc công khai</t>
        </is>
      </c>
      <c r="L16" s="2" t="inlineStr"/>
      <c r="M16" s="2" t="n"/>
      <c r="N16" s="2" t="inlineStr">
        <is>
          <t>Cần hỏi trực tiếp nhu cầu chuyển việc</t>
        </is>
      </c>
      <c r="O16" s="3" t="inlineStr">
        <is>
          <t>https://www.linkedin.com/in/edison-mai-614140184</t>
        </is>
      </c>
      <c r="P16" s="4" t="inlineStr">
        <is>
          <t>Chưa liên hệ</t>
        </is>
      </c>
      <c r="Q16" s="5" t="n"/>
      <c r="R16" s="4" t="n"/>
      <c r="S16" s="4" t="inlineStr">
        <is>
          <t>Chưa phản hồi</t>
        </is>
      </c>
      <c r="T16" s="4" t="inlineStr">
        <is>
          <t>Chưa xác minh</t>
        </is>
      </c>
      <c r="U16" s="4" t="n"/>
    </row>
    <row r="17">
      <c r="A17" s="2" t="n">
        <v>16</v>
      </c>
      <c r="B17" s="2" t="inlineStr">
        <is>
          <t>Theo dõi</t>
        </is>
      </c>
      <c r="C17" s="2" t="inlineStr">
        <is>
          <t>GDDH-W10</t>
        </is>
      </c>
      <c r="D17" s="2" t="inlineStr">
        <is>
          <t>Phương Võ Huỳnh</t>
        </is>
      </c>
      <c r="E17" s="2" t="inlineStr">
        <is>
          <t>Operations leader</t>
        </is>
      </c>
      <c r="F17" s="2" t="inlineStr">
        <is>
          <t>F&amp;B | Retail | FMCG</t>
        </is>
      </c>
      <c r="G17" s="2" t="inlineStr">
        <is>
          <t>Ho Chi Minh City, Vietnam</t>
        </is>
      </c>
      <c r="H17" s="2" t="inlineStr">
        <is>
          <t>Headline: F&amp;B | Retail | FMCG Operational Excellence, Sales &amp; Marketing, Supply Chain</t>
        </is>
      </c>
      <c r="I17" s="2" t="inlineStr">
        <is>
          <t>unverified</t>
        </is>
      </c>
      <c r="J17" s="2" t="inlineStr"/>
      <c r="K17" s="2" t="inlineStr">
        <is>
          <t>Chưa thấy tín hiệu tìm việc công khai</t>
        </is>
      </c>
      <c r="L17" s="2" t="inlineStr"/>
      <c r="M17" s="2" t="n"/>
      <c r="N17" s="2" t="inlineStr">
        <is>
          <t>Cần hỏi trực tiếp nhu cầu chuyển việc</t>
        </is>
      </c>
      <c r="O17" s="3" t="inlineStr">
        <is>
          <t>https://www.linkedin.com/in/pvh221078</t>
        </is>
      </c>
      <c r="P17" s="4" t="inlineStr">
        <is>
          <t>Chưa liên hệ</t>
        </is>
      </c>
      <c r="Q17" s="5" t="n"/>
      <c r="R17" s="4" t="n"/>
      <c r="S17" s="4" t="inlineStr">
        <is>
          <t>Chưa phản hồi</t>
        </is>
      </c>
      <c r="T17" s="4" t="inlineStr">
        <is>
          <t>Chưa xác minh</t>
        </is>
      </c>
      <c r="U17" s="4" t="n"/>
    </row>
    <row r="18">
      <c r="A18" s="2" t="n">
        <v>17</v>
      </c>
      <c r="B18" s="2" t="inlineStr">
        <is>
          <t>Theo dõi</t>
        </is>
      </c>
      <c r="C18" s="2" t="inlineStr">
        <is>
          <t>GDDH-W11</t>
        </is>
      </c>
      <c r="D18" s="2" t="inlineStr">
        <is>
          <t>Nguyen Van Hung</t>
        </is>
      </c>
      <c r="E18" s="2" t="inlineStr">
        <is>
          <t>General Manager</t>
        </is>
      </c>
      <c r="F18" s="2" t="inlineStr">
        <is>
          <t>MZB Vietnam</t>
        </is>
      </c>
      <c r="G18" s="2" t="inlineStr">
        <is>
          <t>Ho Chi Minh City, Vietnam</t>
        </is>
      </c>
      <c r="H18" s="2" t="inlineStr">
        <is>
          <t>GM MZB Vietnam (cà phê/đồ uống)</t>
        </is>
      </c>
      <c r="I18" s="2" t="inlineStr">
        <is>
          <t>unverified</t>
        </is>
      </c>
      <c r="J18" s="2" t="inlineStr"/>
      <c r="K18" s="2" t="inlineStr">
        <is>
          <t>Chưa thấy tín hiệu tìm việc công khai</t>
        </is>
      </c>
      <c r="L18" s="2" t="inlineStr"/>
      <c r="M18" s="2" t="n"/>
      <c r="N18" s="2" t="inlineStr">
        <is>
          <t>Cần hỏi trực tiếp nhu cầu chuyển việc</t>
        </is>
      </c>
      <c r="O18" s="3" t="inlineStr">
        <is>
          <t>https://www.linkedin.com/in/nguyen-van-hung-bb824a63</t>
        </is>
      </c>
      <c r="P18" s="4" t="inlineStr">
        <is>
          <t>Chưa liên hệ</t>
        </is>
      </c>
      <c r="Q18" s="5" t="n"/>
      <c r="R18" s="4" t="n"/>
      <c r="S18" s="4" t="inlineStr">
        <is>
          <t>Chưa phản hồi</t>
        </is>
      </c>
      <c r="T18" s="4" t="inlineStr">
        <is>
          <t>Chưa xác minh</t>
        </is>
      </c>
      <c r="U18" s="4" t="n"/>
    </row>
    <row r="19">
      <c r="A19" s="2" t="n">
        <v>18</v>
      </c>
      <c r="B19" s="2" t="inlineStr">
        <is>
          <t>Theo dõi</t>
        </is>
      </c>
      <c r="C19" s="2" t="inlineStr">
        <is>
          <t>GDDH-W12</t>
        </is>
      </c>
      <c r="D19" s="2" t="inlineStr">
        <is>
          <t>Tài Nguyễn Xuân</t>
        </is>
      </c>
      <c r="E19" s="2" t="inlineStr">
        <is>
          <t>General Manager</t>
        </is>
      </c>
      <c r="F19" s="2" t="inlineStr">
        <is>
          <t>Wine Embassy Viet Nam</t>
        </is>
      </c>
      <c r="G19" s="2" t="inlineStr">
        <is>
          <t>Ho Chi Minh City, Vietnam</t>
        </is>
      </c>
      <c r="H19" s="2" t="inlineStr">
        <is>
          <t>GM nhà phân phối rượu vang</t>
        </is>
      </c>
      <c r="I19" s="2" t="inlineStr">
        <is>
          <t>unverified</t>
        </is>
      </c>
      <c r="J19" s="2" t="inlineStr"/>
      <c r="K19" s="2" t="inlineStr">
        <is>
          <t>Chưa thấy tín hiệu tìm việc công khai</t>
        </is>
      </c>
      <c r="L19" s="2" t="inlineStr"/>
      <c r="M19" s="2" t="n"/>
      <c r="N19" s="2" t="inlineStr">
        <is>
          <t>Cần hỏi trực tiếp nhu cầu chuyển việc</t>
        </is>
      </c>
      <c r="O19" s="3" t="inlineStr">
        <is>
          <t>https://www.linkedin.com/in/nxtai</t>
        </is>
      </c>
      <c r="P19" s="4" t="inlineStr">
        <is>
          <t>Chưa liên hệ</t>
        </is>
      </c>
      <c r="Q19" s="5" t="n"/>
      <c r="R19" s="4" t="n"/>
      <c r="S19" s="4" t="inlineStr">
        <is>
          <t>Chưa phản hồi</t>
        </is>
      </c>
      <c r="T19" s="4" t="inlineStr">
        <is>
          <t>Chưa xác minh</t>
        </is>
      </c>
      <c r="U19" s="4" t="n"/>
    </row>
    <row r="20">
      <c r="A20" s="2" t="n">
        <v>19</v>
      </c>
      <c r="B20" s="2" t="inlineStr">
        <is>
          <t>Theo dõi</t>
        </is>
      </c>
      <c r="C20" s="2" t="inlineStr">
        <is>
          <t>GDDH-W13</t>
        </is>
      </c>
      <c r="D20" s="2" t="inlineStr">
        <is>
          <t>Patricia Marques</t>
        </is>
      </c>
      <c r="E20" s="2" t="inlineStr">
        <is>
          <t>Executive</t>
        </is>
      </c>
      <c r="F20" s="2" t="inlineStr">
        <is>
          <t>Masan Group / Phuc Long Tea</t>
        </is>
      </c>
      <c r="G20" s="2" t="inlineStr">
        <is>
          <t>Ho Chi Minh City, Vietnam</t>
        </is>
      </c>
      <c r="H20" s="2" t="inlineStr">
        <is>
          <t>Lãnh đạo tại Masan/Phúc Long</t>
        </is>
      </c>
      <c r="I20" s="2" t="inlineStr">
        <is>
          <t>unverified</t>
        </is>
      </c>
      <c r="J20" s="2" t="inlineStr"/>
      <c r="K20" s="2" t="inlineStr">
        <is>
          <t>Chưa thấy tín hiệu tìm việc công khai</t>
        </is>
      </c>
      <c r="L20" s="2" t="inlineStr"/>
      <c r="M20" s="2" t="n"/>
      <c r="N20" s="2" t="inlineStr">
        <is>
          <t>Cần hỏi trực tiếp nhu cầu chuyển việc</t>
        </is>
      </c>
      <c r="O20" s="3" t="inlineStr">
        <is>
          <t>https://www.linkedin.com/in/patricia-marques-88802770</t>
        </is>
      </c>
      <c r="P20" s="4" t="inlineStr">
        <is>
          <t>Chưa liên hệ</t>
        </is>
      </c>
      <c r="Q20" s="5" t="n"/>
      <c r="R20" s="4" t="n"/>
      <c r="S20" s="4" t="inlineStr">
        <is>
          <t>Chưa phản hồi</t>
        </is>
      </c>
      <c r="T20" s="4" t="inlineStr">
        <is>
          <t>Chưa xác minh</t>
        </is>
      </c>
      <c r="U20" s="4" t="n"/>
    </row>
    <row r="21">
      <c r="A21" s="2" t="n">
        <v>20</v>
      </c>
      <c r="B21" s="2" t="inlineStr">
        <is>
          <t>Theo dõi</t>
        </is>
      </c>
      <c r="C21" s="2" t="inlineStr">
        <is>
          <t>GDDH-W14</t>
        </is>
      </c>
      <c r="D21" s="2" t="inlineStr">
        <is>
          <t>Vivek Jain</t>
        </is>
      </c>
      <c r="E21" s="2" t="inlineStr">
        <is>
          <t>Business Head – Marico South East Asia</t>
        </is>
      </c>
      <c r="F21" s="2" t="inlineStr">
        <is>
          <t>Marico</t>
        </is>
      </c>
      <c r="G21" s="2" t="inlineStr">
        <is>
          <t>Ho Chi Minh City, Vietnam</t>
        </is>
      </c>
      <c r="H21" s="2" t="inlineStr">
        <is>
          <t>Ex-CEO RPSG D2C, Business Head HoReCa udaan</t>
        </is>
      </c>
      <c r="I21" s="2" t="inlineStr">
        <is>
          <t>unverified</t>
        </is>
      </c>
      <c r="J21" s="2" t="inlineStr"/>
      <c r="K21" s="2" t="inlineStr">
        <is>
          <t>Chưa thấy tín hiệu tìm việc công khai</t>
        </is>
      </c>
      <c r="L21" s="2" t="inlineStr"/>
      <c r="M21" s="2" t="n"/>
      <c r="N21" s="2" t="inlineStr">
        <is>
          <t>Cần hỏi trực tiếp nhu cầu chuyển việc</t>
        </is>
      </c>
      <c r="O21" s="3" t="inlineStr">
        <is>
          <t>https://www.linkedin.com/in/vivek-jain-78875a4</t>
        </is>
      </c>
      <c r="P21" s="4" t="inlineStr">
        <is>
          <t>Chưa liên hệ</t>
        </is>
      </c>
      <c r="Q21" s="5" t="n"/>
      <c r="R21" s="4" t="n"/>
      <c r="S21" s="4" t="inlineStr">
        <is>
          <t>Chưa phản hồi</t>
        </is>
      </c>
      <c r="T21" s="4" t="inlineStr">
        <is>
          <t>Chưa xác minh</t>
        </is>
      </c>
      <c r="U21" s="4" t="n"/>
    </row>
    <row r="22">
      <c r="A22" s="2" t="n">
        <v>21</v>
      </c>
      <c r="B22" s="2" t="inlineStr">
        <is>
          <t>Theo dõi</t>
        </is>
      </c>
      <c r="C22" s="2" t="inlineStr">
        <is>
          <t>GDDH-W15</t>
        </is>
      </c>
      <c r="D22" s="2" t="inlineStr">
        <is>
          <t>Trà Nguyễn</t>
        </is>
      </c>
      <c r="E22" s="2" t="inlineStr">
        <is>
          <t>Country Manager / Market Entry &amp; Distribution Consultant</t>
        </is>
      </c>
      <c r="F22" s="2" t="inlineStr">
        <is>
          <t>Rojukiss</t>
        </is>
      </c>
      <c r="G22" s="2" t="inlineStr">
        <is>
          <t>Ho Chi Minh City, Vietnam</t>
        </is>
      </c>
      <c r="H22" s="2" t="inlineStr">
        <is>
          <t>Beauty, Personal care, Food – từ chiến lược đến kết quả thương mại</t>
        </is>
      </c>
      <c r="I22" s="2" t="inlineStr">
        <is>
          <t>unverified</t>
        </is>
      </c>
      <c r="J22" s="2" t="inlineStr"/>
      <c r="K22" s="2" t="inlineStr">
        <is>
          <t>Chưa thấy tín hiệu tìm việc công khai</t>
        </is>
      </c>
      <c r="L22" s="2" t="inlineStr"/>
      <c r="M22" s="2" t="n"/>
      <c r="N22" s="2" t="inlineStr">
        <is>
          <t>Cần hỏi trực tiếp nhu cầu chuyển việc</t>
        </is>
      </c>
      <c r="O22" s="3" t="inlineStr">
        <is>
          <t>https://www.linkedin.com/in/trà-nguyễn-2a32ab18</t>
        </is>
      </c>
      <c r="P22" s="4" t="inlineStr">
        <is>
          <t>Chưa liên hệ</t>
        </is>
      </c>
      <c r="Q22" s="5" t="n"/>
      <c r="R22" s="4" t="n"/>
      <c r="S22" s="4" t="inlineStr">
        <is>
          <t>Chưa phản hồi</t>
        </is>
      </c>
      <c r="T22" s="4" t="inlineStr">
        <is>
          <t>Chưa xác minh</t>
        </is>
      </c>
      <c r="U22" s="4" t="n"/>
    </row>
    <row r="23">
      <c r="A23" s="2" t="n">
        <v>22</v>
      </c>
      <c r="B23" s="2" t="inlineStr">
        <is>
          <t>Theo dõi</t>
        </is>
      </c>
      <c r="C23" s="2" t="inlineStr">
        <is>
          <t>GDDH-W16</t>
        </is>
      </c>
      <c r="D23" s="2" t="inlineStr">
        <is>
          <t>Jan Willem H.</t>
        </is>
      </c>
      <c r="E23" s="2" t="inlineStr">
        <is>
          <t>Head of Food Production</t>
        </is>
      </c>
      <c r="F23" s="2" t="inlineStr">
        <is>
          <t>Viet Thai International (VTI)</t>
        </is>
      </c>
      <c r="G23" s="2" t="inlineStr">
        <is>
          <t>Ho Chi Minh City, Vietnam</t>
        </is>
      </c>
      <c r="H23" s="2" t="inlineStr">
        <is>
          <t>Central kitchen &amp; manufacturing; ex-CEO Tickle My Pickle Gourmet</t>
        </is>
      </c>
      <c r="I23" s="2" t="inlineStr">
        <is>
          <t>unverified</t>
        </is>
      </c>
      <c r="J23" s="2" t="inlineStr"/>
      <c r="K23" s="2" t="inlineStr">
        <is>
          <t>Chưa thấy tín hiệu tìm việc công khai</t>
        </is>
      </c>
      <c r="L23" s="2" t="inlineStr"/>
      <c r="M23" s="2" t="n"/>
      <c r="N23" s="2" t="inlineStr">
        <is>
          <t>Cần hỏi trực tiếp nhu cầu chuyển việc</t>
        </is>
      </c>
      <c r="O23" s="3" t="inlineStr">
        <is>
          <t>https://www.linkedin.com/in/jan-willem-h-ba7b8812b</t>
        </is>
      </c>
      <c r="P23" s="4" t="inlineStr">
        <is>
          <t>Chưa liên hệ</t>
        </is>
      </c>
      <c r="Q23" s="5" t="n"/>
      <c r="R23" s="4" t="n"/>
      <c r="S23" s="4" t="inlineStr">
        <is>
          <t>Chưa phản hồi</t>
        </is>
      </c>
      <c r="T23" s="4" t="inlineStr">
        <is>
          <t>Chưa xác minh</t>
        </is>
      </c>
      <c r="U23" s="4" t="n"/>
    </row>
    <row r="24">
      <c r="A24" s="2" t="n">
        <v>23</v>
      </c>
      <c r="B24" s="2" t="inlineStr">
        <is>
          <t>Theo dõi</t>
        </is>
      </c>
      <c r="C24" s="2" t="inlineStr">
        <is>
          <t>GDDH-W17</t>
        </is>
      </c>
      <c r="D24" s="2" t="inlineStr">
        <is>
          <t>Chan Dong Huynh</t>
        </is>
      </c>
      <c r="E24" s="2" t="inlineStr">
        <is>
          <t>Country Manager</t>
        </is>
      </c>
      <c r="F24" s="2" t="inlineStr">
        <is>
          <t>Purcotton; Strategic Advisor Central Distribution VN</t>
        </is>
      </c>
      <c r="G24" s="2" t="inlineStr">
        <is>
          <t>Ho Chi Minh City, Vietnam</t>
        </is>
      </c>
      <c r="H24" s="2" t="inlineStr">
        <is>
          <t>FMCG – ex Route To Market Coca-Cola Beverages VN</t>
        </is>
      </c>
      <c r="I24" s="2" t="inlineStr">
        <is>
          <t>unverified</t>
        </is>
      </c>
      <c r="J24" s="2" t="inlineStr"/>
      <c r="K24" s="2" t="inlineStr">
        <is>
          <t>Chưa thấy tín hiệu tìm việc công khai</t>
        </is>
      </c>
      <c r="L24" s="2" t="inlineStr"/>
      <c r="M24" s="2" t="n"/>
      <c r="N24" s="2" t="inlineStr">
        <is>
          <t>Cần hỏi trực tiếp nhu cầu chuyển việc</t>
        </is>
      </c>
      <c r="O24" s="3" t="inlineStr">
        <is>
          <t>https://www.linkedin.com/in/chan-dong-huynh-96673117a</t>
        </is>
      </c>
      <c r="P24" s="4" t="inlineStr">
        <is>
          <t>Chưa liên hệ</t>
        </is>
      </c>
      <c r="Q24" s="5" t="n"/>
      <c r="R24" s="4" t="n"/>
      <c r="S24" s="4" t="inlineStr">
        <is>
          <t>Chưa phản hồi</t>
        </is>
      </c>
      <c r="T24" s="4" t="inlineStr">
        <is>
          <t>Chưa xác minh</t>
        </is>
      </c>
      <c r="U24" s="4" t="n"/>
    </row>
  </sheetData>
  <autoFilter ref="A1:U24"/>
  <conditionalFormatting sqref="P2:P24">
    <cfRule type="cellIs" priority="1" operator="equal" dxfId="0">
      <formula>"Đã liên hệ"</formula>
    </cfRule>
  </conditionalFormatting>
  <conditionalFormatting sqref="T2:T24">
    <cfRule type="cellIs" priority="2" operator="equal" dxfId="0">
      <formula>"Đang tìm việc"</formula>
    </cfRule>
  </conditionalFormatting>
  <dataValidations count="5">
    <dataValidation sqref="P2:P24" showDropDown="0" showInputMessage="0" showErrorMessage="0" allowBlank="1" type="list">
      <formula1>"Chưa liên hệ,Đã liên hệ,Không liên hệ được"</formula1>
    </dataValidation>
    <dataValidation sqref="R2:R24" showDropDown="0" showInputMessage="0" showErrorMessage="0" allowBlank="1" type="list">
      <formula1>"LinkedIn InMail,LinkedIn kết nối,Email,Điện thoại/Zalo,Giới thiệu,Khác"</formula1>
    </dataValidation>
    <dataValidation sqref="S2:S24" showDropDown="0" showInputMessage="0" showErrorMessage="0" allowBlank="1" type="list">
      <formula1>"Chưa phản hồi,Quan tâm,Không quan tâm,Hẹn phỏng vấn,Từ chối"</formula1>
    </dataValidation>
    <dataValidation sqref="T2:T24" showDropDown="0" showInputMessage="0" showErrorMessage="0" allowBlank="1" type="list">
      <formula1>"Chưa xác minh,Đang tìm việc,Đang làm việc - mở cơ hội,Đang làm việc - không đổi việc,Đã nhận offer nơi khác"</formula1>
    </dataValidation>
    <dataValidation sqref="Q2:Q24" showDropDown="0" showInputMessage="0" showErrorMessage="0" allowBlank="1" type="date" operator="greaterThan">
      <formula1>DATE(2020,1,1)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O2" r:id="rId2"/>
    <hyperlink xmlns:r="http://schemas.openxmlformats.org/officeDocument/2006/relationships" ref="L3" r:id="rId3"/>
    <hyperlink xmlns:r="http://schemas.openxmlformats.org/officeDocument/2006/relationships" ref="O3" r:id="rId4"/>
    <hyperlink xmlns:r="http://schemas.openxmlformats.org/officeDocument/2006/relationships" ref="L4" r:id="rId5"/>
    <hyperlink xmlns:r="http://schemas.openxmlformats.org/officeDocument/2006/relationships" ref="O4" r:id="rId6"/>
    <hyperlink xmlns:r="http://schemas.openxmlformats.org/officeDocument/2006/relationships" ref="L5" r:id="rId7"/>
    <hyperlink xmlns:r="http://schemas.openxmlformats.org/officeDocument/2006/relationships" ref="O5" r:id="rId8"/>
    <hyperlink xmlns:r="http://schemas.openxmlformats.org/officeDocument/2006/relationships" ref="L6" r:id="rId9"/>
    <hyperlink xmlns:r="http://schemas.openxmlformats.org/officeDocument/2006/relationships" ref="O6" r:id="rId10"/>
    <hyperlink xmlns:r="http://schemas.openxmlformats.org/officeDocument/2006/relationships" ref="L7" r:id="rId11"/>
    <hyperlink xmlns:r="http://schemas.openxmlformats.org/officeDocument/2006/relationships" ref="O7" r:id="rId12"/>
    <hyperlink xmlns:r="http://schemas.openxmlformats.org/officeDocument/2006/relationships" ref="O8" r:id="rId13"/>
    <hyperlink xmlns:r="http://schemas.openxmlformats.org/officeDocument/2006/relationships" ref="O9" r:id="rId14"/>
    <hyperlink xmlns:r="http://schemas.openxmlformats.org/officeDocument/2006/relationships" ref="O10" r:id="rId15"/>
    <hyperlink xmlns:r="http://schemas.openxmlformats.org/officeDocument/2006/relationships" ref="O11" r:id="rId16"/>
    <hyperlink xmlns:r="http://schemas.openxmlformats.org/officeDocument/2006/relationships" ref="O12" r:id="rId17"/>
    <hyperlink xmlns:r="http://schemas.openxmlformats.org/officeDocument/2006/relationships" ref="O13" r:id="rId18"/>
    <hyperlink xmlns:r="http://schemas.openxmlformats.org/officeDocument/2006/relationships" ref="O14" r:id="rId19"/>
    <hyperlink xmlns:r="http://schemas.openxmlformats.org/officeDocument/2006/relationships" ref="O15" r:id="rId20"/>
    <hyperlink xmlns:r="http://schemas.openxmlformats.org/officeDocument/2006/relationships" ref="O16" r:id="rId21"/>
    <hyperlink xmlns:r="http://schemas.openxmlformats.org/officeDocument/2006/relationships" ref="O17" r:id="rId22"/>
    <hyperlink xmlns:r="http://schemas.openxmlformats.org/officeDocument/2006/relationships" ref="O18" r:id="rId23"/>
    <hyperlink xmlns:r="http://schemas.openxmlformats.org/officeDocument/2006/relationships" ref="O19" r:id="rId24"/>
    <hyperlink xmlns:r="http://schemas.openxmlformats.org/officeDocument/2006/relationships" ref="O20" r:id="rId25"/>
    <hyperlink xmlns:r="http://schemas.openxmlformats.org/officeDocument/2006/relationships" ref="O21" r:id="rId26"/>
    <hyperlink xmlns:r="http://schemas.openxmlformats.org/officeDocument/2006/relationships" ref="O22" r:id="rId27"/>
    <hyperlink xmlns:r="http://schemas.openxmlformats.org/officeDocument/2006/relationships" ref="O23" r:id="rId28"/>
    <hyperlink xmlns:r="http://schemas.openxmlformats.org/officeDocument/2006/relationships" ref="O24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s="6" t="inlineStr">
        <is>
          <t>Tổng số hồ sơ (TP.HCM)</t>
        </is>
      </c>
      <c r="B2" s="6">
        <f>COUNTA('Ứng viên'!D2:D24)</f>
        <v/>
      </c>
    </row>
    <row r="3">
      <c r="A3" s="6" t="inlineStr">
        <is>
          <t>Ứng viên chính (có tín hiệu tìm việc)</t>
        </is>
      </c>
      <c r="B3" s="6">
        <f>COUNTIF('Ứng viên'!B2:B24,"Chính")</f>
        <v/>
      </c>
    </row>
    <row r="4">
      <c r="A4" s="6" t="inlineStr">
        <is>
          <t>Open to Work confirmed</t>
        </is>
      </c>
      <c r="B4" s="6">
        <f>COUNTIF('Ứng viên'!I2:I24,"confirmed")</f>
        <v/>
      </c>
    </row>
    <row r="5">
      <c r="A5" s="6" t="inlineStr">
        <is>
          <t>Open to Work probable</t>
        </is>
      </c>
      <c r="B5" s="6">
        <f>COUNTIF('Ứng viên'!I2:I24,"probable")</f>
        <v/>
      </c>
    </row>
    <row r="6">
      <c r="A6" s="6" t="inlineStr">
        <is>
          <t>Danh sách theo dõi</t>
        </is>
      </c>
      <c r="B6" s="6">
        <f>COUNTIF('Ứng viên'!B2:B24,"Theo dõi")</f>
        <v/>
      </c>
    </row>
    <row r="7">
      <c r="A7" s="6" t="inlineStr">
        <is>
          <t>Đã liên hệ</t>
        </is>
      </c>
      <c r="B7" s="6">
        <f>COUNTIF('Ứng viên'!P2:P24,"Đã liên hệ")</f>
        <v/>
      </c>
    </row>
    <row r="8">
      <c r="A8" s="6" t="inlineStr">
        <is>
          <t>Chưa liên hệ</t>
        </is>
      </c>
      <c r="B8" s="6">
        <f>COUNTIF('Ứng viên'!P2:P24,"Chưa liên hệ")</f>
        <v/>
      </c>
    </row>
    <row r="9">
      <c r="A9" s="6" t="inlineStr">
        <is>
          <t>Tỷ lệ đã liên hệ</t>
        </is>
      </c>
      <c r="B9" s="7">
        <f>IFERROR(B7/B2,0)</f>
        <v/>
      </c>
    </row>
    <row r="10">
      <c r="A10" s="6" t="inlineStr">
        <is>
          <t>Phản hồi quan tâm</t>
        </is>
      </c>
      <c r="B10" s="6">
        <f>COUNTIF('Ứng viên'!S2:S24,"Quan tâm")</f>
        <v/>
      </c>
    </row>
    <row r="11">
      <c r="A11" s="6" t="inlineStr">
        <is>
          <t>Hẹn phỏng vấn</t>
        </is>
      </c>
      <c r="B11" s="6">
        <f>COUNTIF('Ứng viên'!S2:S24,"Hẹn phỏng vấn")</f>
        <v/>
      </c>
    </row>
    <row r="12">
      <c r="A12" s="6" t="inlineStr">
        <is>
          <t>Trạng thái: Đang tìm việc</t>
        </is>
      </c>
      <c r="B12" s="6">
        <f>COUNTIF('Ứng viên'!T2:T24,"Đang tìm việc")</f>
        <v/>
      </c>
    </row>
    <row r="13">
      <c r="A13" s="6" t="inlineStr">
        <is>
          <t>Trạng thái: Chưa xác minh</t>
        </is>
      </c>
      <c r="B13" s="6">
        <f>COUNTIF('Ứng viên'!T2:T24,"Chưa xác minh")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70" customWidth="1" min="3" max="3"/>
  </cols>
  <sheetData>
    <row r="1">
      <c r="A1" s="1" t="inlineStr">
        <is>
          <t>Họ tên</t>
        </is>
      </c>
      <c r="B1" s="1" t="inlineStr">
        <is>
          <t>LinkedIn</t>
        </is>
      </c>
      <c r="C1" s="1" t="inlineStr">
        <is>
          <t>Lý do loại</t>
        </is>
      </c>
    </row>
    <row r="2">
      <c r="A2" s="2" t="inlineStr">
        <is>
          <t>Toan Pham</t>
        </is>
      </c>
      <c r="B2" s="3" t="inlineStr">
        <is>
          <t>https://www.linkedin.com/in/toan-pham-26419174</t>
        </is>
      </c>
      <c r="C2" s="2" t="inlineStr">
        <is>
          <t>openToWork=true nhưng chuyên môn Brand/Marketing, không phải điều hành chung</t>
        </is>
      </c>
    </row>
    <row r="3">
      <c r="A3" s="2" t="inlineStr">
        <is>
          <t>Thao Nguyen</t>
        </is>
      </c>
      <c r="B3" s="3" t="inlineStr">
        <is>
          <t>https://www.linkedin.com/in/thao-nguyen-accounting-manager</t>
        </is>
      </c>
      <c r="C3" s="2" t="inlineStr">
        <is>
          <t>openToWork=true – Accounting Manager, sai vị trí</t>
        </is>
      </c>
    </row>
    <row r="4">
      <c r="A4" s="2" t="inlineStr">
        <is>
          <t>Loan Phan</t>
        </is>
      </c>
      <c r="B4" s="3" t="inlineStr">
        <is>
          <t>https://www.linkedin.com/in/loan-phan-968aa4140</t>
        </is>
      </c>
      <c r="C4" s="2" t="inlineStr">
        <is>
          <t>openToWork=true, ex-CEO Nova Retail Management nhưng ngành BĐS thương mại/KCN, không FMCG/F&amp;B</t>
        </is>
      </c>
    </row>
    <row r="5">
      <c r="A5" s="2" t="inlineStr">
        <is>
          <t>LUONG VO MINH DUNG</t>
        </is>
      </c>
      <c r="B5" s="3" t="inlineStr">
        <is>
          <t>https://www.linkedin.com/in/luong-vo-minh-dung-08785387</t>
        </is>
      </c>
      <c r="C5" s="2" t="inlineStr">
        <is>
          <t>Headline 'Open to work', CEO PLG Engineering – ngành kỹ thuật, không FMCG/F&amp;B</t>
        </is>
      </c>
    </row>
    <row r="6">
      <c r="A6" s="2" t="inlineStr">
        <is>
          <t>Ngu Nguyen</t>
        </is>
      </c>
      <c r="B6" s="3" t="inlineStr">
        <is>
          <t>https://www.linkedin.com/in/ngu-nguyen-6130546b</t>
        </is>
      </c>
      <c r="C6" s="2" t="inlineStr">
        <is>
          <t>Open to work – ngành Banking/Fintech</t>
        </is>
      </c>
    </row>
    <row r="7">
      <c r="A7" s="2" t="inlineStr">
        <is>
          <t>Đức Quý Nguyễn</t>
        </is>
      </c>
      <c r="B7" s="3" t="inlineStr">
        <is>
          <t>https://www.linkedin.com/in/đức-quý-nguyễn-b37128242</t>
        </is>
      </c>
      <c r="C7" s="2" t="inlineStr">
        <is>
          <t>Headline 'Open To Work', Regional Director CEN Group – bất động sản</t>
        </is>
      </c>
    </row>
    <row r="8">
      <c r="A8" s="2" t="inlineStr">
        <is>
          <t>Darren Harding</t>
        </is>
      </c>
      <c r="B8" s="3" t="inlineStr">
        <is>
          <t>https://www.linkedin.com/in/darren-harding-19235644</t>
        </is>
      </c>
      <c r="C8" s="2" t="inlineStr">
        <is>
          <t>Seeking opportunities trong ngành Gaming/Integrated Resort</t>
        </is>
      </c>
    </row>
    <row r="9">
      <c r="A9" s="2" t="inlineStr">
        <is>
          <t>Kong Phan</t>
        </is>
      </c>
      <c r="B9" s="3" t="inlineStr">
        <is>
          <t>https://www.linkedin.com/in/kongphanrecruitment</t>
        </is>
      </c>
      <c r="C9" s="2" t="inlineStr">
        <is>
          <t>openToWork=true – HR/TA, sai chức năng</t>
        </is>
      </c>
    </row>
    <row r="10">
      <c r="A10" s="2" t="inlineStr">
        <is>
          <t>Trang Hoang Thuy</t>
        </is>
      </c>
      <c r="B10" s="3" t="inlineStr">
        <is>
          <t>https://www.linkedin.com/in/trangbub</t>
        </is>
      </c>
      <c r="C10" s="2" t="inlineStr">
        <is>
          <t>Open to work – Product Owner/PM</t>
        </is>
      </c>
    </row>
    <row r="11">
      <c r="A11" s="2" t="inlineStr">
        <is>
          <t>Laurent Pauloin</t>
        </is>
      </c>
      <c r="B11" s="3" t="inlineStr">
        <is>
          <t>https://www.linkedin.com/in/laurent-pauloin</t>
        </is>
      </c>
      <c r="C11" s="2" t="inlineStr">
        <is>
          <t>openToWork=true – Backend Developer</t>
        </is>
      </c>
    </row>
    <row r="12">
      <c r="A12" s="2" t="inlineStr">
        <is>
          <t>Phuc Tran</t>
        </is>
      </c>
      <c r="B12" s="3" t="inlineStr">
        <is>
          <t>https://www.linkedin.com/in/phuc-tran-a21825150</t>
        </is>
      </c>
      <c r="C12" s="2" t="inlineStr">
        <is>
          <t>openToWork=true – Personal Assistant, chưa đủ cấp</t>
        </is>
      </c>
    </row>
    <row r="13">
      <c r="A13" s="2" t="inlineStr">
        <is>
          <t>Quyen Nguyen</t>
        </is>
      </c>
      <c r="B13" s="3" t="inlineStr">
        <is>
          <t>https://www.linkedin.com/in/quyen-nguyen-b57a333b8</t>
        </is>
      </c>
      <c r="C13" s="2" t="inlineStr">
        <is>
          <t>openToWork=true – Key Account/Customer Success, chưa đủ cấp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Cách dùng</t>
        </is>
      </c>
      <c r="B1" s="9" t="inlineStr"/>
    </row>
    <row r="2">
      <c r="A2" s="9" t="inlineStr">
        <is>
          <t>Ô nền vàng (cột P–U)</t>
        </is>
      </c>
      <c r="B2" s="9" t="inlineStr">
        <is>
          <t>Bạn tự cập nhật, chọn từ danh sách thả xuống</t>
        </is>
      </c>
    </row>
    <row r="3">
      <c r="A3" s="9" t="inlineStr">
        <is>
          <t>Ví dụ 1 dòng</t>
        </is>
      </c>
      <c r="B3" s="9" t="inlineStr">
        <is>
          <t>Đã liên hệ | 29/09/2026 | LinkedIn InMail | Quan tâm | Đang tìm việc | Hẹn gọi 01/10</t>
        </is>
      </c>
    </row>
    <row r="4">
      <c r="A4" s="9" t="inlineStr">
        <is>
          <t>Phạm vi</t>
        </is>
      </c>
      <c r="B4" s="9" t="inlineStr">
        <is>
          <t>Giám đốc điều hành (CEO / GM / MD / COO / Operations Director) ngành FMCG và F&amp;B tại TP.HCM. Địa điểm ghi 'Chưa xác minh' = cần hỏi lại ứng viên</t>
        </is>
      </c>
    </row>
    <row r="5">
      <c r="A5" s="9" t="inlineStr">
        <is>
          <t>Nguồn</t>
        </is>
      </c>
      <c r="B5" s="9" t="inlineStr">
        <is>
          <t>Apify harvestapi/linkedin-profile-search (chế độ Full, không email search) – 6 lượt tìm; kiểm tra 08/10/2026</t>
        </is>
      </c>
    </row>
    <row r="6">
      <c r="A6" s="9" t="inlineStr">
        <is>
          <t>Open to Work</t>
        </is>
      </c>
      <c r="B6" s="9" t="inlineStr">
        <is>
          <t>confirmed = cờ openToWork=true trên LinkedIn; probable = có tín hiệu nhưng chưa rõ ràng hoặc đã cũ; unverified = chưa thấy tín hiệu</t>
        </is>
      </c>
    </row>
    <row r="7">
      <c r="A7" s="9" t="inlineStr">
        <is>
          <t>Chấm điểm (100)</t>
        </is>
      </c>
      <c r="B7" s="9" t="inlineStr">
        <is>
          <t>OTW 20 · cấp Director/GM/C-level 25 · kinh nghiệm FMCG/F&amp;B 20 · quy mô P&amp;L/vận hành 15 · ở TP.HCM 10 · phù hợp khác 10. Thiếu dữ liệu = 0 điểm</t>
        </is>
      </c>
    </row>
    <row r="8">
      <c r="A8" s="9" t="inlineStr">
        <is>
          <t>Giới tính</t>
        </is>
      </c>
      <c r="B8" s="9" t="inlineStr">
        <is>
          <t>Không dùng tuổi, giới tính hay đặc điểm cá nhân để lọc hoặc chấm điểm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2026-10-08T10:58:27Z</dcterms:created>
  <dcterms:modified xsi:type="dcterms:W3CDTF">2026-10-08T10:58:27Z</dcterms:modified>
</cp:coreProperties>
</file>