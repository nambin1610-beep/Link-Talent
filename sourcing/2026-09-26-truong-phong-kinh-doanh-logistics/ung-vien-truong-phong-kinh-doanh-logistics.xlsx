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Ứng viên" sheetId="1" state="visible" r:id="rId1"/>
    <sheet name="Tổng hợp" sheetId="2" state="visible" r:id="rId2"/>
    <sheet name="Hướng dẫn" sheetId="3" state="visible" r:id="rId3"/>
  </sheets>
  <definedNames>
    <definedName name="_xlnm._FilterDatabase" localSheetId="0" hidden="1">'Ứng viên'!$A$1:$U$7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9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in/hung-cuong-marcus-a690a899/" TargetMode="External" Id="rId1" /><Relationship Type="http://schemas.openxmlformats.org/officeDocument/2006/relationships/hyperlink" Target="https://www.linkedin.com/in/minhtrang-ta/" TargetMode="External" Id="rId2" /><Relationship Type="http://schemas.openxmlformats.org/officeDocument/2006/relationships/hyperlink" Target="https://www.linkedin.com/in/thu-ngan-nguyen-826934104/" TargetMode="External" Id="rId3" /><Relationship Type="http://schemas.openxmlformats.org/officeDocument/2006/relationships/hyperlink" Target="https://vn.linkedin.com/in/tranducmanh" TargetMode="External" Id="rId4" /><Relationship Type="http://schemas.openxmlformats.org/officeDocument/2006/relationships/hyperlink" Target="https://www.linkedin.com/in/mai-linh-64ab81124/" TargetMode="External" Id="rId5" /><Relationship Type="http://schemas.openxmlformats.org/officeDocument/2006/relationships/hyperlink" Target="https://www.linkedin.com/in/minh-t%C3%A2m-nguy%E1%BB%85n-91094b170/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3" customWidth="1" min="3" max="3"/>
    <col width="18" customWidth="1" min="4" max="4"/>
    <col width="24" customWidth="1" min="5" max="5"/>
    <col width="24" customWidth="1" min="6" max="6"/>
    <col width="20" customWidth="1" min="7" max="7"/>
    <col width="26" customWidth="1" min="8" max="8"/>
    <col width="18" customWidth="1" min="9" max="9"/>
    <col width="11" customWidth="1" min="10" max="10"/>
    <col width="11" customWidth="1" min="11" max="11"/>
    <col width="45" customWidth="1" min="12" max="12"/>
    <col width="9" customWidth="1" min="13" max="13"/>
    <col width="40" customWidth="1" min="14" max="14"/>
    <col width="38" customWidth="1" min="15" max="15"/>
    <col width="14" customWidth="1" min="16" max="16"/>
    <col width="12" customWidth="1" min="17" max="17"/>
    <col width="14" customWidth="1" min="18" max="18"/>
    <col width="15" customWidth="1" min="19" max="19"/>
    <col width="22" customWidth="1" min="20" max="20"/>
    <col width="30" customWidth="1" min="21" max="21"/>
  </cols>
  <sheetData>
    <row r="1" ht="32" customHeight="1">
      <c r="A1" s="1" t="inlineStr">
        <is>
          <t>STT</t>
        </is>
      </c>
      <c r="B1" s="1" t="inlineStr">
        <is>
          <t>Nhóm</t>
        </is>
      </c>
      <c r="C1" s="1" t="inlineStr">
        <is>
          <t>Mã</t>
        </is>
      </c>
      <c r="D1" s="1" t="inlineStr">
        <is>
          <t>Họ tên</t>
        </is>
      </c>
      <c r="E1" s="1" t="inlineStr">
        <is>
          <t>Chức danh</t>
        </is>
      </c>
      <c r="F1" s="1" t="inlineStr">
        <is>
          <t>Công ty</t>
        </is>
      </c>
      <c r="G1" s="1" t="inlineStr">
        <is>
          <t>Địa điểm</t>
        </is>
      </c>
      <c r="H1" s="1" t="inlineStr">
        <is>
          <t>Kinh nghiệm logistics/forwarding</t>
        </is>
      </c>
      <c r="I1" s="1" t="inlineStr">
        <is>
          <t>Sea xuất</t>
        </is>
      </c>
      <c r="J1" s="1" t="inlineStr">
        <is>
          <t>Open to Work</t>
        </is>
      </c>
      <c r="K1" s="1" t="inlineStr">
        <is>
          <t>Ngày tín hiệu</t>
        </is>
      </c>
      <c r="L1" s="1" t="inlineStr">
        <is>
          <t>Bằng chứng</t>
        </is>
      </c>
      <c r="M1" s="1" t="inlineStr">
        <is>
          <t>Điểm phù hợp</t>
        </is>
      </c>
      <c r="N1" s="1" t="inlineStr">
        <is>
          <t>Điểm cần lưu ý</t>
        </is>
      </c>
      <c r="O1" s="1" t="inlineStr">
        <is>
          <t>LinkedIn</t>
        </is>
      </c>
      <c r="P1" s="1" t="inlineStr">
        <is>
          <t>Đã liên hệ?</t>
        </is>
      </c>
      <c r="Q1" s="1" t="inlineStr">
        <is>
          <t>Ngày liên hệ</t>
        </is>
      </c>
      <c r="R1" s="1" t="inlineStr">
        <is>
          <t>Kênh liên hệ</t>
        </is>
      </c>
      <c r="S1" s="1" t="inlineStr">
        <is>
          <t>Phản hồi</t>
        </is>
      </c>
      <c r="T1" s="1" t="inlineStr">
        <is>
          <t>Trạng thái công việc</t>
        </is>
      </c>
      <c r="U1" s="1" t="inlineStr">
        <is>
          <t>Ghi chú của bạn</t>
        </is>
      </c>
    </row>
    <row r="2">
      <c r="A2" s="2" t="n">
        <v>1</v>
      </c>
      <c r="B2" s="2" t="inlineStr">
        <is>
          <t>Chính</t>
        </is>
      </c>
      <c r="C2" s="2" t="inlineStr">
        <is>
          <t>LT-SALES-001</t>
        </is>
      </c>
      <c r="D2" s="2" t="inlineStr">
        <is>
          <t>Hung Cuong (Marcus)</t>
        </is>
      </c>
      <c r="E2" s="2" t="inlineStr">
        <is>
          <t>Country Director (ended 08/2026)</t>
        </is>
      </c>
      <c r="F2" s="2" t="inlineStr">
        <is>
          <t>Vietnam Transit</t>
        </is>
      </c>
      <c r="G2" s="2" t="inlineStr">
        <is>
          <t>TP.HCM (Vietnam Transit office: Pham Ngoc Thach St)</t>
        </is>
      </c>
      <c r="H2" s="2" t="inlineStr">
        <is>
          <t>Liner shipping + freight forwarding + logistics</t>
        </is>
      </c>
      <c r="I2" s="2" t="inlineStr">
        <is>
          <t>Liner shipping (sea); no data on Sea export sales specifically</t>
        </is>
      </c>
      <c r="J2" s="2" t="inlineStr">
        <is>
          <t>confirmed</t>
        </is>
      </c>
      <c r="K2" s="2" t="inlineStr">
        <is>
          <t>2026-08-30</t>
        </is>
      </c>
      <c r="L2" s="2" t="inlineStr">
        <is>
          <t>"As my time with Vietnam Transit officially concludes at the end of August... I am actively looking for my next executive or leadership role across port management, shipping lines, logistics expansion..."</t>
        </is>
      </c>
      <c r="M2" s="2" t="n">
        <v>85</v>
      </c>
      <c r="N2" s="2" t="inlineStr">
        <is>
          <t>Based in HCM; no evidence of willingness to work in Hanoi; Director level: may exceed the 25-30M salary band and a Sales Manager role at a 30-person company; Looking for executive/leadership roles, not necessarily Sales Manager</t>
        </is>
      </c>
      <c r="O2" s="3" t="inlineStr">
        <is>
          <t>https://www.linkedin.com/in/hung-cuong-marcus-a690a899/</t>
        </is>
      </c>
      <c r="P2" s="4" t="inlineStr">
        <is>
          <t>Chưa liên hệ</t>
        </is>
      </c>
      <c r="Q2" s="5" t="n"/>
      <c r="R2" s="4" t="n"/>
      <c r="S2" s="4" t="inlineStr">
        <is>
          <t>Chưa phản hồi</t>
        </is>
      </c>
      <c r="T2" s="4" t="inlineStr">
        <is>
          <t>Chưa xác minh</t>
        </is>
      </c>
      <c r="U2" s="4" t="n"/>
    </row>
    <row r="3">
      <c r="A3" s="2" t="n">
        <v>2</v>
      </c>
      <c r="B3" s="2" t="inlineStr">
        <is>
          <t>Chính</t>
        </is>
      </c>
      <c r="C3" s="2" t="inlineStr">
        <is>
          <t>LT-SALES-002</t>
        </is>
      </c>
      <c r="D3" s="2" t="inlineStr">
        <is>
          <t>Minh Trang Ta</t>
        </is>
      </c>
      <c r="E3" s="2" t="inlineStr">
        <is>
          <t>Head of Strategic Accounts</t>
        </is>
      </c>
      <c r="F3" s="2" t="inlineStr">
        <is>
          <t>Vietnam Post Logistics (previously led the Enterprise Customer Division at Viettel Post)</t>
        </is>
      </c>
      <c r="G3" s="2" t="inlineStr">
        <is>
          <t>Hanoi Capital Region</t>
        </is>
      </c>
      <c r="H3" s="2" t="inlineStr">
        <is>
          <t>B2B/enterprise logistics (postal &amp; express logistics); no data on forwarding</t>
        </is>
      </c>
      <c r="I3" s="2" t="inlineStr">
        <is>
          <t>không có dữ liệu</t>
        </is>
      </c>
      <c r="J3" s="2" t="inlineStr">
        <is>
          <t>confirmed</t>
        </is>
      </c>
      <c r="K3" s="2" t="inlineStr">
        <is>
          <t>không rõ</t>
        </is>
      </c>
      <c r="L3" s="2" t="inlineStr">
        <is>
          <t>LinkedIn profile shows #OPENTOWORK (per the indexed profile summary)</t>
        </is>
      </c>
      <c r="M3" s="2" t="n">
        <v>70</v>
      </c>
      <c r="N3" s="2" t="inlineStr">
        <is>
          <t>Date the OTW status was turned on is unknown; No data on forwarding / Sea export; Education: MSc Supply Chain (Nottingham), outside the preferred majors but related</t>
        </is>
      </c>
      <c r="O3" s="3" t="inlineStr">
        <is>
          <t>https://www.linkedin.com/in/minhtrang-ta/</t>
        </is>
      </c>
      <c r="P3" s="4" t="inlineStr">
        <is>
          <t>Chưa liên hệ</t>
        </is>
      </c>
      <c r="Q3" s="5" t="n"/>
      <c r="R3" s="4" t="n"/>
      <c r="S3" s="4" t="inlineStr">
        <is>
          <t>Chưa phản hồi</t>
        </is>
      </c>
      <c r="T3" s="4" t="inlineStr">
        <is>
          <t>Chưa xác minh</t>
        </is>
      </c>
      <c r="U3" s="4" t="n"/>
    </row>
    <row r="4">
      <c r="A4" s="2" t="n">
        <v>3</v>
      </c>
      <c r="B4" s="2" t="inlineStr">
        <is>
          <t>Chính</t>
        </is>
      </c>
      <c r="C4" s="2" t="inlineStr">
        <is>
          <t>LT-SALES-003</t>
        </is>
      </c>
      <c r="D4" s="2" t="inlineStr">
        <is>
          <t>Thu Ngan Nguyen</t>
        </is>
      </c>
      <c r="E4" s="2" t="inlineStr">
        <is>
          <t>Sales Logistics Manager</t>
        </is>
      </c>
      <c r="F4" s="2" t="inlineStr">
        <is>
          <t>SEBANG VINA CO., LTD</t>
        </is>
      </c>
      <c r="G4" s="2" t="inlineStr">
        <is>
          <t>Not specified (company has offices in HCM, Hung Yen, Ha Noi)</t>
        </is>
      </c>
      <c r="H4" s="2" t="inlineStr">
        <is>
          <t>Yes: logistics company (Korean-invested)</t>
        </is>
      </c>
      <c r="I4" s="2" t="inlineStr">
        <is>
          <t>không có dữ liệu</t>
        </is>
      </c>
      <c r="J4" s="2" t="inlineStr">
        <is>
          <t>probable</t>
        </is>
      </c>
      <c r="K4" s="2" t="inlineStr">
        <is>
          <t>không rõ</t>
        </is>
      </c>
      <c r="L4" s="2" t="inlineStr">
        <is>
          <t>Search engine index of the LinkedIn profile says the person is open to work; the original wording could not be opened for verification</t>
        </is>
      </c>
      <c r="M4" s="2" t="n">
        <v>48</v>
      </c>
      <c r="N4" s="2" t="inlineStr">
        <is>
          <t>OTW not verified from the original source; Location unknown; No data on Sea export / team management; The company email/phone found are not a personal public contact from the candidate, so they are left blank</t>
        </is>
      </c>
      <c r="O4" s="3" t="inlineStr">
        <is>
          <t>https://www.linkedin.com/in/thu-ngan-nguyen-826934104/</t>
        </is>
      </c>
      <c r="P4" s="4" t="inlineStr">
        <is>
          <t>Chưa liên hệ</t>
        </is>
      </c>
      <c r="Q4" s="5" t="n"/>
      <c r="R4" s="4" t="n"/>
      <c r="S4" s="4" t="inlineStr">
        <is>
          <t>Chưa phản hồi</t>
        </is>
      </c>
      <c r="T4" s="4" t="inlineStr">
        <is>
          <t>Chưa xác minh</t>
        </is>
      </c>
      <c r="U4" s="4" t="n"/>
    </row>
    <row r="5">
      <c r="A5" s="2" t="n">
        <v>4</v>
      </c>
      <c r="B5" s="2" t="inlineStr">
        <is>
          <t>Theo dõi</t>
        </is>
      </c>
      <c r="C5" s="2" t="inlineStr">
        <is>
          <t>LT-SALES-W01</t>
        </is>
      </c>
      <c r="D5" s="2" t="inlineStr">
        <is>
          <t>Tran Manh</t>
        </is>
      </c>
      <c r="E5" s="2" t="inlineStr">
        <is>
          <t>Area Sales Manager</t>
        </is>
      </c>
      <c r="F5" s="2" t="inlineStr">
        <is>
          <t>GEODIS</t>
        </is>
      </c>
      <c r="G5" s="2" t="inlineStr">
        <is>
          <t>Hanoi</t>
        </is>
      </c>
      <c r="H5" s="2" t="inlineStr">
        <is>
          <t>Area Sales Manager at a global forwarder, Hanoi</t>
        </is>
      </c>
      <c r="I5" s="2" t="inlineStr">
        <is>
          <t>không có dữ liệu</t>
        </is>
      </c>
      <c r="J5" s="2" t="inlineStr">
        <is>
          <t>unverified</t>
        </is>
      </c>
      <c r="K5" s="2" t="inlineStr"/>
      <c r="L5" s="2" t="inlineStr">
        <is>
          <t>Chưa thấy tín hiệu tìm việc công khai</t>
        </is>
      </c>
      <c r="M5" s="2" t="n"/>
      <c r="N5" s="2" t="inlineStr">
        <is>
          <t>Cần xác minh Open to Work</t>
        </is>
      </c>
      <c r="O5" s="3" t="inlineStr">
        <is>
          <t>https://vn.linkedin.com/in/tranducmanh</t>
        </is>
      </c>
      <c r="P5" s="4" t="inlineStr">
        <is>
          <t>Chưa liên hệ</t>
        </is>
      </c>
      <c r="Q5" s="5" t="n"/>
      <c r="R5" s="4" t="n"/>
      <c r="S5" s="4" t="inlineStr">
        <is>
          <t>Chưa phản hồi</t>
        </is>
      </c>
      <c r="T5" s="4" t="inlineStr">
        <is>
          <t>Chưa xác minh</t>
        </is>
      </c>
      <c r="U5" s="4" t="n"/>
    </row>
    <row r="6">
      <c r="A6" s="2" t="n">
        <v>5</v>
      </c>
      <c r="B6" s="2" t="inlineStr">
        <is>
          <t>Theo dõi</t>
        </is>
      </c>
      <c r="C6" s="2" t="inlineStr">
        <is>
          <t>LT-SALES-W02</t>
        </is>
      </c>
      <c r="D6" s="2" t="inlineStr">
        <is>
          <t>Mai Linh</t>
        </is>
      </c>
      <c r="E6" s="2" t="inlineStr">
        <is>
          <t>Business Development Director - Logistics Advisor</t>
        </is>
      </c>
      <c r="F6" s="2" t="inlineStr">
        <is>
          <t>(not stated)</t>
        </is>
      </c>
      <c r="G6" s="2" t="inlineStr">
        <is>
          <t>Hanoi / Hai Phong</t>
        </is>
      </c>
      <c r="H6" s="2" t="inlineStr">
        <is>
          <t>Logistics business development experience in Hai Phong and Hanoi</t>
        </is>
      </c>
      <c r="I6" s="2" t="inlineStr">
        <is>
          <t>không có dữ liệu</t>
        </is>
      </c>
      <c r="J6" s="2" t="inlineStr">
        <is>
          <t>unverified</t>
        </is>
      </c>
      <c r="K6" s="2" t="inlineStr"/>
      <c r="L6" s="2" t="inlineStr">
        <is>
          <t>Chưa thấy tín hiệu tìm việc công khai</t>
        </is>
      </c>
      <c r="M6" s="2" t="n"/>
      <c r="N6" s="2" t="inlineStr">
        <is>
          <t>Cần xác minh Open to Work</t>
        </is>
      </c>
      <c r="O6" s="3" t="inlineStr">
        <is>
          <t>https://www.linkedin.com/in/mai-linh-64ab81124/</t>
        </is>
      </c>
      <c r="P6" s="4" t="inlineStr">
        <is>
          <t>Chưa liên hệ</t>
        </is>
      </c>
      <c r="Q6" s="5" t="n"/>
      <c r="R6" s="4" t="n"/>
      <c r="S6" s="4" t="inlineStr">
        <is>
          <t>Chưa phản hồi</t>
        </is>
      </c>
      <c r="T6" s="4" t="inlineStr">
        <is>
          <t>Chưa xác minh</t>
        </is>
      </c>
      <c r="U6" s="4" t="n"/>
    </row>
    <row r="7">
      <c r="A7" s="2" t="n">
        <v>6</v>
      </c>
      <c r="B7" s="2" t="inlineStr">
        <is>
          <t>Theo dõi</t>
        </is>
      </c>
      <c r="C7" s="2" t="inlineStr">
        <is>
          <t>LT-SALES-W03</t>
        </is>
      </c>
      <c r="D7" s="2" t="inlineStr">
        <is>
          <t>Minh Tâm Nguyễn</t>
        </is>
      </c>
      <c r="E7" s="2" t="inlineStr">
        <is>
          <t>Logistics &amp; Freight Forwarding Sales Manager</t>
        </is>
      </c>
      <c r="F7" s="2" t="inlineStr">
        <is>
          <t>Carry All Logistics</t>
        </is>
      </c>
      <c r="G7" s="2" t="inlineStr">
        <is>
          <t>Vietnam (not stated)</t>
        </is>
      </c>
      <c r="H7" s="2" t="inlineStr">
        <is>
          <t>Sales Manager for forwarding, Vietnam–US route, ocean freight</t>
        </is>
      </c>
      <c r="I7" s="2" t="inlineStr">
        <is>
          <t>không có dữ liệu</t>
        </is>
      </c>
      <c r="J7" s="2" t="inlineStr">
        <is>
          <t>unverified</t>
        </is>
      </c>
      <c r="K7" s="2" t="inlineStr"/>
      <c r="L7" s="2" t="inlineStr">
        <is>
          <t>Chưa thấy tín hiệu tìm việc công khai</t>
        </is>
      </c>
      <c r="M7" s="2" t="n"/>
      <c r="N7" s="2" t="inlineStr">
        <is>
          <t>Cần xác minh Open to Work</t>
        </is>
      </c>
      <c r="O7" s="3" t="inlineStr">
        <is>
          <t>https://www.linkedin.com/in/minh-t%C3%A2m-nguy%E1%BB%85n-91094b170/</t>
        </is>
      </c>
      <c r="P7" s="4" t="inlineStr">
        <is>
          <t>Chưa liên hệ</t>
        </is>
      </c>
      <c r="Q7" s="5" t="n"/>
      <c r="R7" s="4" t="n"/>
      <c r="S7" s="4" t="inlineStr">
        <is>
          <t>Chưa phản hồi</t>
        </is>
      </c>
      <c r="T7" s="4" t="inlineStr">
        <is>
          <t>Chưa xác minh</t>
        </is>
      </c>
      <c r="U7" s="4" t="n"/>
    </row>
  </sheetData>
  <autoFilter ref="A1:U7"/>
  <conditionalFormatting sqref="P2:P7">
    <cfRule type="cellIs" priority="1" operator="equal" dxfId="0">
      <formula>"Đã liên hệ"</formula>
    </cfRule>
  </conditionalFormatting>
  <conditionalFormatting sqref="T2:T7">
    <cfRule type="cellIs" priority="2" operator="equal" dxfId="0">
      <formula>"Đang tìm việc"</formula>
    </cfRule>
  </conditionalFormatting>
  <dataValidations count="5">
    <dataValidation sqref="P2:P7" showDropDown="0" showInputMessage="0" showErrorMessage="0" allowBlank="1" type="list">
      <formula1>"Chưa liên hệ,Đã liên hệ,Không liên hệ được"</formula1>
    </dataValidation>
    <dataValidation sqref="R2:R7" showDropDown="0" showInputMessage="0" showErrorMessage="0" allowBlank="1" type="list">
      <formula1>"LinkedIn InMail,LinkedIn kết nối,Email,Điện thoại/Zalo,Giới thiệu,Khác"</formula1>
    </dataValidation>
    <dataValidation sqref="S2:S7" showDropDown="0" showInputMessage="0" showErrorMessage="0" allowBlank="1" type="list">
      <formula1>"Chưa phản hồi,Quan tâm,Không quan tâm,Hẹn phỏng vấn,Từ chối"</formula1>
    </dataValidation>
    <dataValidation sqref="T2:T7" showDropDown="0" showInputMessage="0" showErrorMessage="0" allowBlank="1" type="list">
      <formula1>"Chưa xác minh,Đang tìm việc,Đang làm việc - mở cơ hội,Đang làm việc - không đổi việc,Đã nhận offer nơi khác"</formula1>
    </dataValidation>
    <dataValidation sqref="Q2:Q7" showDropDown="0" showInputMessage="0" showErrorMessage="0" allowBlank="1" type="date" operator="greaterThan">
      <formula1>DATE(2020,1,1)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</cols>
  <sheetData>
    <row r="1">
      <c r="A1" s="6" t="inlineStr">
        <is>
          <t>Chỉ số</t>
        </is>
      </c>
      <c r="B1" s="6" t="inlineStr">
        <is>
          <t>Giá trị</t>
        </is>
      </c>
    </row>
    <row r="2">
      <c r="A2" s="7" t="inlineStr">
        <is>
          <t>Tổng số hồ sơ</t>
        </is>
      </c>
      <c r="B2" s="7">
        <f>COUNTA('Ứng viên'!D2:D7)</f>
        <v/>
      </c>
    </row>
    <row r="3">
      <c r="A3" s="7" t="inlineStr">
        <is>
          <t>Ứng viên chính</t>
        </is>
      </c>
      <c r="B3" s="7">
        <f>COUNTIF('Ứng viên'!B2:B7,"Chính")</f>
        <v/>
      </c>
    </row>
    <row r="4">
      <c r="A4" s="7" t="inlineStr">
        <is>
          <t>Open to Work confirmed</t>
        </is>
      </c>
      <c r="B4" s="7">
        <f>COUNTIF('Ứng viên'!J2:J7,"confirmed")</f>
        <v/>
      </c>
    </row>
    <row r="5">
      <c r="A5" s="7" t="inlineStr">
        <is>
          <t>Open to Work probable</t>
        </is>
      </c>
      <c r="B5" s="7">
        <f>COUNTIF('Ứng viên'!J2:J7,"probable")</f>
        <v/>
      </c>
    </row>
    <row r="6">
      <c r="A6" s="7" t="inlineStr">
        <is>
          <t>Danh sách theo dõi</t>
        </is>
      </c>
      <c r="B6" s="7">
        <f>COUNTIF('Ứng viên'!B2:B7,"Theo dõi")</f>
        <v/>
      </c>
    </row>
    <row r="7">
      <c r="A7" s="7" t="inlineStr">
        <is>
          <t>Đã liên hệ</t>
        </is>
      </c>
      <c r="B7" s="7">
        <f>COUNTIF('Ứng viên'!P2:P7,"Đã liên hệ")</f>
        <v/>
      </c>
    </row>
    <row r="8">
      <c r="A8" s="7" t="inlineStr">
        <is>
          <t>Chưa liên hệ</t>
        </is>
      </c>
      <c r="B8" s="7">
        <f>COUNTIF('Ứng viên'!P2:P7,"Chưa liên hệ")</f>
        <v/>
      </c>
    </row>
    <row r="9">
      <c r="A9" s="7" t="inlineStr">
        <is>
          <t>Tỷ lệ đã liên hệ</t>
        </is>
      </c>
      <c r="B9" s="8">
        <f>IFERROR(B7/B2,0)</f>
        <v/>
      </c>
    </row>
    <row r="10">
      <c r="A10" s="7" t="inlineStr">
        <is>
          <t>Phản hồi quan tâm</t>
        </is>
      </c>
      <c r="B10" s="7">
        <f>COUNTIF('Ứng viên'!S2:S7,"Quan tâm")</f>
        <v/>
      </c>
    </row>
    <row r="11">
      <c r="A11" s="7" t="inlineStr">
        <is>
          <t>Hẹn phỏng vấn</t>
        </is>
      </c>
      <c r="B11" s="7">
        <f>COUNTIF('Ứng viên'!S2:S7,"Hẹn phỏng vấn")</f>
        <v/>
      </c>
    </row>
    <row r="12">
      <c r="A12" s="7" t="inlineStr">
        <is>
          <t>Trạng thái: Đang tìm việc</t>
        </is>
      </c>
      <c r="B12" s="7">
        <f>COUNTIF('Ứng viên'!T2:T7,"Đang tìm việc")</f>
        <v/>
      </c>
    </row>
    <row r="13">
      <c r="A13" s="7" t="inlineStr">
        <is>
          <t>Trạng thái: Đang làm việc - mở cơ hội</t>
        </is>
      </c>
      <c r="B13" s="7">
        <f>COUNTIF('Ứng viên'!T2:T7,"Đang làm việc - mở cơ hội")</f>
        <v/>
      </c>
    </row>
    <row r="14">
      <c r="A14" s="7" t="inlineStr">
        <is>
          <t>Trạng thái: Chưa xác minh</t>
        </is>
      </c>
      <c r="B14" s="7">
        <f>COUNTIF('Ứng viên'!T2:T7,"Chưa xác minh")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9" t="inlineStr">
        <is>
          <t>Cách dùng</t>
        </is>
      </c>
      <c r="B1" s="10" t="inlineStr"/>
    </row>
    <row r="2">
      <c r="A2" s="10" t="inlineStr">
        <is>
          <t>Ô nền vàng (cột P–U)</t>
        </is>
      </c>
      <c r="B2" s="10" t="inlineStr">
        <is>
          <t>Bạn tự cập nhật, chọn từ danh sách thả xuống</t>
        </is>
      </c>
    </row>
    <row r="3">
      <c r="A3" s="10" t="inlineStr">
        <is>
          <t>Ví dụ 1 dòng</t>
        </is>
      </c>
      <c r="B3" s="10" t="inlineStr">
        <is>
          <t>Đã liên hệ | 27/09/2026 | LinkedIn InMail | Quan tâm | Đang tìm việc | Hẹn gọi 29/09</t>
        </is>
      </c>
    </row>
    <row r="4">
      <c r="A4" s="10" t="inlineStr">
        <is>
          <t>Vị trí</t>
        </is>
      </c>
      <c r="B4" s="10" t="inlineStr">
        <is>
          <t>Trưởng phòng Kinh doanh (Sales Manager) logistics/forwarding, mạnh Sea xuất – Cầu Giấy, Hà Nội – 25-30tr + KPI</t>
        </is>
      </c>
    </row>
    <row r="5">
      <c r="A5" s="10" t="inlineStr">
        <is>
          <t>Nguồn</t>
        </is>
      </c>
      <c r="B5" s="10" t="inlineStr">
        <is>
          <t>Apify RAG Web Browser (đọc bài đăng LinkedIn công khai) + tìm kiếm web; kiểm tra 26/09/2026; không đăng nhập, không vượt authwall</t>
        </is>
      </c>
    </row>
    <row r="6">
      <c r="A6" s="10" t="inlineStr">
        <is>
          <t>Chấm điểm (100)</t>
        </is>
      </c>
      <c r="B6" s="10" t="inlineStr">
        <is>
          <t>OTW 20 · cấp Sales Leader/Manager 20 · logistics/forwarding B2B 20 · Sea xuất 15 · xây dựng/quản lý team 15 · ở Hà Nội 10. Thiếu dữ liệu = 0 điểm, không có nghĩa là không có kinh nghiệm</t>
        </is>
      </c>
    </row>
    <row r="7">
      <c r="A7" s="10" t="inlineStr">
        <is>
          <t>Giới tính</t>
        </is>
      </c>
      <c r="B7" s="10" t="inlineStr">
        <is>
          <t>JD ghi 'Ưu tiên Nam' – tiêu chí này KHÔNG được dùng để lọc hay chấm điểm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2026-09-26T08:27:51Z</dcterms:created>
  <dcterms:modified xsi:type="dcterms:W3CDTF">2026-09-26T08:27:51Z</dcterms:modified>
</cp:coreProperties>
</file>