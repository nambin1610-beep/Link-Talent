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Ứng viên" sheetId="1" state="visible" r:id="rId1"/>
    <sheet name="Tổng hợp" sheetId="2" state="visible" r:id="rId2"/>
    <sheet name="Đã loại" sheetId="3" state="visible" r:id="rId3"/>
    <sheet name="Hướng dẫn" sheetId="4" state="visible" r:id="rId4"/>
  </sheets>
  <definedNames>
    <definedName name="_xlnm._FilterDatabase" localSheetId="0" hidden="1">'Ứng viên'!$A$1:$U$24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0" borderId="1" pivotButton="0" quotePrefix="0" xfId="0"/>
    <xf numFmtId="9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minhtrang-ta/" TargetMode="External" Id="rId1" /><Relationship Type="http://schemas.openxmlformats.org/officeDocument/2006/relationships/hyperlink" Target="https://www.linkedin.com/in/minhtrang-ta/" TargetMode="External" Id="rId2" /><Relationship Type="http://schemas.openxmlformats.org/officeDocument/2006/relationships/hyperlink" Target="https://vn.linkedin.com/in/hue-bui-120a65295" TargetMode="External" Id="rId3" /><Relationship Type="http://schemas.openxmlformats.org/officeDocument/2006/relationships/hyperlink" Target="https://vn.linkedin.com/in/hue-bui-120a65295" TargetMode="External" Id="rId4" /><Relationship Type="http://schemas.openxmlformats.org/officeDocument/2006/relationships/hyperlink" Target="https://vn.linkedin.com/posts/quynh-nb-729bb3234_opentowork-activity-7313843513995972608-gcxd" TargetMode="External" Id="rId5" /><Relationship Type="http://schemas.openxmlformats.org/officeDocument/2006/relationships/hyperlink" Target="https://vn.linkedin.com/in/quynh-nb-729bb3234" TargetMode="External" Id="rId6" /><Relationship Type="http://schemas.openxmlformats.org/officeDocument/2006/relationships/hyperlink" Target="https://www.linkedin.com/in/thoanguyenthikim/" TargetMode="External" Id="rId7" /><Relationship Type="http://schemas.openxmlformats.org/officeDocument/2006/relationships/hyperlink" Target="https://www.linkedin.com/in/thoanguyenthikim/" TargetMode="External" Id="rId8" /><Relationship Type="http://schemas.openxmlformats.org/officeDocument/2006/relationships/hyperlink" Target="https://www.linkedin.com/in/hai-doan-le/" TargetMode="External" Id="rId9" /><Relationship Type="http://schemas.openxmlformats.org/officeDocument/2006/relationships/hyperlink" Target="https://vn.linkedin.com/in/tranducmanh" TargetMode="External" Id="rId10" /><Relationship Type="http://schemas.openxmlformats.org/officeDocument/2006/relationships/hyperlink" Target="https://vn.linkedin.com/in/alex-quan-a7b88979" TargetMode="External" Id="rId11" /><Relationship Type="http://schemas.openxmlformats.org/officeDocument/2006/relationships/hyperlink" Target="https://vn.linkedin.com/in/phuong-lam-ha-b77985164" TargetMode="External" Id="rId12" /><Relationship Type="http://schemas.openxmlformats.org/officeDocument/2006/relationships/hyperlink" Target="https://www.linkedin.com/in/mai-linh-64ab81124/" TargetMode="External" Id="rId13" /><Relationship Type="http://schemas.openxmlformats.org/officeDocument/2006/relationships/hyperlink" Target="https://www.linkedin.com/in/dunghoang2431995/" TargetMode="External" Id="rId14" /><Relationship Type="http://schemas.openxmlformats.org/officeDocument/2006/relationships/hyperlink" Target="https://www.linkedin.com/in/nguyen-tien-luc-a8b286b0/" TargetMode="External" Id="rId15" /><Relationship Type="http://schemas.openxmlformats.org/officeDocument/2006/relationships/hyperlink" Target="https://www.linkedin.com/in/qu%E1%BB%B3nh-nguy%E1%BB%85n-35b715172/" TargetMode="External" Id="rId16" /><Relationship Type="http://schemas.openxmlformats.org/officeDocument/2006/relationships/hyperlink" Target="https://www.linkedin.com/in/nguyen-van-duc-227521161/" TargetMode="External" Id="rId17" /><Relationship Type="http://schemas.openxmlformats.org/officeDocument/2006/relationships/hyperlink" Target="https://vn.linkedin.com/in/hung-pham-1b027b2b" TargetMode="External" Id="rId18" /><Relationship Type="http://schemas.openxmlformats.org/officeDocument/2006/relationships/hyperlink" Target="https://vn.linkedin.com/in/myra-nguyen-vietbills-logs-vietnam-a9b262336" TargetMode="External" Id="rId19" /><Relationship Type="http://schemas.openxmlformats.org/officeDocument/2006/relationships/hyperlink" Target="https://vn.linkedin.com/in/oanh-vu-4a7b4194" TargetMode="External" Id="rId20" /><Relationship Type="http://schemas.openxmlformats.org/officeDocument/2006/relationships/hyperlink" Target="https://vn.linkedin.com/in/thu-thuy-le-169101192" TargetMode="External" Id="rId21" /><Relationship Type="http://schemas.openxmlformats.org/officeDocument/2006/relationships/hyperlink" Target="https://vn.linkedin.com/in/ngo-nhat-quang-52b567a0" TargetMode="External" Id="rId22" /><Relationship Type="http://schemas.openxmlformats.org/officeDocument/2006/relationships/hyperlink" Target="https://vn.linkedin.com/in/vu-kim-chi-7a810734" TargetMode="External" Id="rId23" /><Relationship Type="http://schemas.openxmlformats.org/officeDocument/2006/relationships/hyperlink" Target="https://vn.linkedin.com/in/truong-pham-24907531a" TargetMode="External" Id="rId24" /><Relationship Type="http://schemas.openxmlformats.org/officeDocument/2006/relationships/hyperlink" Target="https://vn.linkedin.com/in/tran-huu-nam-157945100" TargetMode="External" Id="rId25" /><Relationship Type="http://schemas.openxmlformats.org/officeDocument/2006/relationships/hyperlink" Target="https://vn.linkedin.com/in/v%C6%B0%C6%A1ng-v%C5%A9-minh-83632b215" TargetMode="External" Id="rId26" /><Relationship Type="http://schemas.openxmlformats.org/officeDocument/2006/relationships/hyperlink" Target="https://vn.linkedin.com/in/huong-nguyen-230a3b46" TargetMode="External" Id="rId27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hung-cuong-marcus-a690a899/" TargetMode="External" Id="rId1" /><Relationship Type="http://schemas.openxmlformats.org/officeDocument/2006/relationships/hyperlink" Target="https://www.linkedin.com/in/thu-ngan-nguyen-826934104/" TargetMode="External" Id="rId2" /><Relationship Type="http://schemas.openxmlformats.org/officeDocument/2006/relationships/hyperlink" Target="https://www.linkedin.com/in/number1vn/" TargetMode="External" Id="rId3" /><Relationship Type="http://schemas.openxmlformats.org/officeDocument/2006/relationships/hyperlink" Target="https://www.linkedin.com/in/tuan-nguyen-8343b633a/" TargetMode="External" Id="rId4" /><Relationship Type="http://schemas.openxmlformats.org/officeDocument/2006/relationships/hyperlink" Target="https://www.linkedin.com/in/l%C6%B0%C6%A1ng-thu-ph%C6%B0%C6%A1ng-a761a6140/" TargetMode="External" Id="rId5" /><Relationship Type="http://schemas.openxmlformats.org/officeDocument/2006/relationships/hyperlink" Target="https://www.linkedin.com/in/-linh/" TargetMode="External" Id="rId6" /><Relationship Type="http://schemas.openxmlformats.org/officeDocument/2006/relationships/hyperlink" Target="https://www.linkedin.com/in/minh-t%C3%A2m-nguy%E1%BB%85n-91094b170/" TargetMode="External" Id="rId7" /><Relationship Type="http://schemas.openxmlformats.org/officeDocument/2006/relationships/hyperlink" Target="https://vn.linkedin.com/in/haphanhr" TargetMode="External" Id="rId8" /><Relationship Type="http://schemas.openxmlformats.org/officeDocument/2006/relationships/hyperlink" Target="https://vn.linkedin.com/posts/manhdk_mc277hm-myconnect-opentowork-activity-7488918936474836992-ivQz" TargetMode="External" Id="rId9" /><Relationship Type="http://schemas.openxmlformats.org/officeDocument/2006/relationships/hyperlink" Target="https://vn.linkedin.com/in/l%C3%AA-duy-vinh-05b24b64" TargetMode="External" Id="rId10" /><Relationship Type="http://schemas.openxmlformats.org/officeDocument/2006/relationships/hyperlink" Target="https://vn.linkedin.com/in/hoang-yen-do-134881176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18" customWidth="1" min="4" max="4"/>
    <col width="26" customWidth="1" min="5" max="5"/>
    <col width="26" customWidth="1" min="6" max="6"/>
    <col width="14" customWidth="1" min="7" max="7"/>
    <col width="32" customWidth="1" min="8" max="8"/>
    <col width="11" customWidth="1" min="9" max="9"/>
    <col width="11" customWidth="1" min="10" max="10"/>
    <col width="45" customWidth="1" min="11" max="11"/>
    <col width="30" customWidth="1" min="12" max="12"/>
    <col width="9" customWidth="1" min="13" max="13"/>
    <col width="38" customWidth="1" min="14" max="14"/>
    <col width="40" customWidth="1" min="15" max="15"/>
    <col width="14" customWidth="1" min="16" max="16"/>
    <col width="12" customWidth="1" min="17" max="17"/>
    <col width="14" customWidth="1" min="18" max="18"/>
    <col width="15" customWidth="1" min="19" max="19"/>
    <col width="22" customWidth="1" min="20" max="20"/>
    <col width="30" customWidth="1" min="21" max="21"/>
  </cols>
  <sheetData>
    <row r="1" ht="32" customHeight="1">
      <c r="A1" s="1" t="inlineStr">
        <is>
          <t>STT</t>
        </is>
      </c>
      <c r="B1" s="1" t="inlineStr">
        <is>
          <t>Nhóm</t>
        </is>
      </c>
      <c r="C1" s="1" t="inlineStr">
        <is>
          <t>Mã</t>
        </is>
      </c>
      <c r="D1" s="1" t="inlineStr">
        <is>
          <t>Họ tên</t>
        </is>
      </c>
      <c r="E1" s="1" t="inlineStr">
        <is>
          <t>Chức danh</t>
        </is>
      </c>
      <c r="F1" s="1" t="inlineStr">
        <is>
          <t>Công ty</t>
        </is>
      </c>
      <c r="G1" s="1" t="inlineStr">
        <is>
          <t>Địa điểm</t>
        </is>
      </c>
      <c r="H1" s="1" t="inlineStr">
        <is>
          <t>Kinh nghiệm logistics/forwarding</t>
        </is>
      </c>
      <c r="I1" s="1" t="inlineStr">
        <is>
          <t>Open to Work</t>
        </is>
      </c>
      <c r="J1" s="1" t="inlineStr">
        <is>
          <t>Ngày tín hiệu</t>
        </is>
      </c>
      <c r="K1" s="1" t="inlineStr">
        <is>
          <t>Bằng chứng</t>
        </is>
      </c>
      <c r="L1" s="1" t="inlineStr">
        <is>
          <t>URL bằng chứng</t>
        </is>
      </c>
      <c r="M1" s="1" t="inlineStr">
        <is>
          <t>Điểm phù hợp</t>
        </is>
      </c>
      <c r="N1" s="1" t="inlineStr">
        <is>
          <t>Điểm cần lưu ý</t>
        </is>
      </c>
      <c r="O1" s="1" t="inlineStr">
        <is>
          <t>LinkedIn</t>
        </is>
      </c>
      <c r="P1" s="1" t="inlineStr">
        <is>
          <t>Đã liên hệ?</t>
        </is>
      </c>
      <c r="Q1" s="1" t="inlineStr">
        <is>
          <t>Ngày liên hệ</t>
        </is>
      </c>
      <c r="R1" s="1" t="inlineStr">
        <is>
          <t>Kênh liên hệ</t>
        </is>
      </c>
      <c r="S1" s="1" t="inlineStr">
        <is>
          <t>Phản hồi</t>
        </is>
      </c>
      <c r="T1" s="1" t="inlineStr">
        <is>
          <t>Trạng thái công việc</t>
        </is>
      </c>
      <c r="U1" s="1" t="inlineStr">
        <is>
          <t>Ghi chú của bạn</t>
        </is>
      </c>
    </row>
    <row r="2">
      <c r="A2" s="2" t="n">
        <v>1</v>
      </c>
      <c r="B2" s="2" t="inlineStr">
        <is>
          <t>Chính</t>
        </is>
      </c>
      <c r="C2" s="2" t="inlineStr">
        <is>
          <t>LT-SALES-001</t>
        </is>
      </c>
      <c r="D2" s="2" t="inlineStr">
        <is>
          <t>Minh Trang Ta</t>
        </is>
      </c>
      <c r="E2" s="2" t="inlineStr">
        <is>
          <t>Head of Strategic Accounts</t>
        </is>
      </c>
      <c r="F2" s="2" t="inlineStr">
        <is>
          <t>Vietnam Post Logistics (previously led the Enterprise Customer Division, Viettel Post)</t>
        </is>
      </c>
      <c r="G2" s="2" t="inlineStr">
        <is>
          <t>Hanoi Capital Region</t>
        </is>
      </c>
      <c r="H2" s="2" t="inlineStr">
        <is>
          <t>B2B/enterprise logistics (postal &amp; express logistics)</t>
        </is>
      </c>
      <c r="I2" s="2" t="inlineStr">
        <is>
          <t>confirmed</t>
        </is>
      </c>
      <c r="J2" s="2" t="inlineStr">
        <is>
          <t>không rõ</t>
        </is>
      </c>
      <c r="K2" s="2" t="inlineStr">
        <is>
          <t>LinkedIn profile shows #OPENTOWORK (per the search engine index)</t>
        </is>
      </c>
      <c r="L2" s="3" t="inlineStr">
        <is>
          <t>https://www.linkedin.com/in/minhtrang-ta/</t>
        </is>
      </c>
      <c r="M2" s="2" t="n">
        <v>70</v>
      </c>
      <c r="N2" s="2" t="inlineStr">
        <is>
          <t>Date the OTW status was turned on is unknown; No data on forwarding / Sea export</t>
        </is>
      </c>
      <c r="O2" s="3" t="inlineStr">
        <is>
          <t>https://www.linkedin.com/in/minhtrang-ta/</t>
        </is>
      </c>
      <c r="P2" s="4" t="inlineStr">
        <is>
          <t>Chưa liên hệ</t>
        </is>
      </c>
      <c r="Q2" s="5" t="n"/>
      <c r="R2" s="4" t="n"/>
      <c r="S2" s="4" t="inlineStr">
        <is>
          <t>Chưa phản hồi</t>
        </is>
      </c>
      <c r="T2" s="4" t="inlineStr">
        <is>
          <t>Chưa xác minh</t>
        </is>
      </c>
      <c r="U2" s="4" t="n"/>
    </row>
    <row r="3">
      <c r="A3" s="2" t="n">
        <v>2</v>
      </c>
      <c r="B3" s="2" t="inlineStr">
        <is>
          <t>Chính</t>
        </is>
      </c>
      <c r="C3" s="2" t="inlineStr">
        <is>
          <t>LT-SALES-004</t>
        </is>
      </c>
      <c r="D3" s="2" t="inlineStr">
        <is>
          <t>HUE BUI</t>
        </is>
      </c>
      <c r="E3" s="2" t="inlineStr">
        <is>
          <t>Branch Manager / Sales Manager / Assistant Manager / CS &amp; OP team leader</t>
        </is>
      </c>
      <c r="F3" s="2" t="inlineStr">
        <is>
          <t>KN CARGO Logistics Co., Ltd</t>
        </is>
      </c>
      <c r="G3" s="2" t="inlineStr">
        <is>
          <t>Hanoi Capital Region</t>
        </is>
      </c>
      <c r="H3" s="2" t="inlineStr">
        <is>
          <t>12 years at a logistics company (Branch Manager, Sales Manager, CS/OP team lead)</t>
        </is>
      </c>
      <c r="I3" s="2" t="inlineStr">
        <is>
          <t>probable</t>
        </is>
      </c>
      <c r="J3" s="2" t="inlineStr">
        <is>
          <t>không rõ</t>
        </is>
      </c>
      <c r="K3" s="2" t="inlineStr">
        <is>
          <t>Profile summary (Google snippet): "With quite 12 years' experience in logistics company, I'm looking forward to working...", wording suggests looking for a new role but not explicit</t>
        </is>
      </c>
      <c r="L3" s="3" t="inlineStr">
        <is>
          <t>https://vn.linkedin.com/in/hue-bui-120a65295</t>
        </is>
      </c>
      <c r="M3" s="2" t="n">
        <v>58</v>
      </c>
      <c r="N3" s="2" t="inlineStr">
        <is>
          <t>OTW signal only from a snippet; LinkedIn blocked opening the full profile; Date unknown; No data on Sea export</t>
        </is>
      </c>
      <c r="O3" s="3" t="inlineStr">
        <is>
          <t>https://vn.linkedin.com/in/hue-bui-120a65295</t>
        </is>
      </c>
      <c r="P3" s="4" t="inlineStr">
        <is>
          <t>Chưa liên hệ</t>
        </is>
      </c>
      <c r="Q3" s="5" t="n"/>
      <c r="R3" s="4" t="n"/>
      <c r="S3" s="4" t="inlineStr">
        <is>
          <t>Chưa phản hồi</t>
        </is>
      </c>
      <c r="T3" s="4" t="inlineStr">
        <is>
          <t>Chưa xác minh</t>
        </is>
      </c>
      <c r="U3" s="4" t="n"/>
    </row>
    <row r="4">
      <c r="A4" s="2" t="n">
        <v>3</v>
      </c>
      <c r="B4" s="2" t="inlineStr">
        <is>
          <t>Chính</t>
        </is>
      </c>
      <c r="C4" s="2" t="inlineStr">
        <is>
          <t>LT-SALES-003</t>
        </is>
      </c>
      <c r="D4" s="2" t="inlineStr">
        <is>
          <t>Quynh NB</t>
        </is>
      </c>
      <c r="E4" s="2" t="inlineStr">
        <is>
          <t>Regional Sales Manager (seeking an RSM or equivalent role)</t>
        </is>
      </c>
      <c r="F4" s="2" t="inlineStr">
        <is>
          <t>Ninja Van (~7 years) + FMCG (3 years)</t>
        </is>
      </c>
      <c r="G4" s="2" t="inlineStr">
        <is>
          <t>Hà Nội</t>
        </is>
      </c>
      <c r="H4" s="2" t="inlineStr">
        <is>
          <t>Sales management in express/e-commerce logistics (Ninja Van)</t>
        </is>
      </c>
      <c r="I4" s="2" t="inlineStr">
        <is>
          <t>probable</t>
        </is>
      </c>
      <c r="J4" s="2" t="inlineStr">
        <is>
          <t>2025-04-04</t>
        </is>
      </c>
      <c r="K4" s="2" t="inlineStr">
        <is>
          <t>Own post: "I'm currently looking for a new development opportunity... I'd like an RSM or equivalent role in Logistics, FMCG... 💚 Work location in Hà Nội #Opentowork"</t>
        </is>
      </c>
      <c r="L4" s="3" t="inlineStr">
        <is>
          <t>https://vn.linkedin.com/posts/quynh-nb-729bb3234_opentowork-activity-7313843513995972608-gcxd</t>
        </is>
      </c>
      <c r="M4" s="2" t="n">
        <v>55</v>
      </c>
      <c r="N4" s="2" t="inlineStr">
        <is>
          <t>Signal posted 04/2025 (~18 months ago): need to re-check whether still looking; Express delivery logistics, not forwarding/Sea export; Profile URL inferred from the post URL</t>
        </is>
      </c>
      <c r="O4" s="3" t="inlineStr">
        <is>
          <t>https://vn.linkedin.com/in/quynh-nb-729bb3234</t>
        </is>
      </c>
      <c r="P4" s="4" t="inlineStr">
        <is>
          <t>Chưa liên hệ</t>
        </is>
      </c>
      <c r="Q4" s="5" t="n"/>
      <c r="R4" s="4" t="n"/>
      <c r="S4" s="4" t="inlineStr">
        <is>
          <t>Chưa phản hồi</t>
        </is>
      </c>
      <c r="T4" s="4" t="inlineStr">
        <is>
          <t>Chưa xác minh</t>
        </is>
      </c>
      <c r="U4" s="4" t="n"/>
    </row>
    <row r="5">
      <c r="A5" s="2" t="n">
        <v>4</v>
      </c>
      <c r="B5" s="2" t="inlineStr">
        <is>
          <t>Chính</t>
        </is>
      </c>
      <c r="C5" s="2" t="inlineStr">
        <is>
          <t>LT-SALES-002</t>
        </is>
      </c>
      <c r="D5" s="2" t="inlineStr">
        <is>
          <t>Thoa Nguyen</t>
        </is>
      </c>
      <c r="E5" s="2" t="inlineStr">
        <is>
          <t>BD/Sales &amp; Operation Management in Logistics, E-com</t>
        </is>
      </c>
      <c r="F5" s="2" t="inlineStr">
        <is>
          <t>(worked at Shopee)</t>
        </is>
      </c>
      <c r="G5" s="2" t="inlineStr">
        <is>
          <t>Hanoi</t>
        </is>
      </c>
      <c r="H5" s="2" t="inlineStr">
        <is>
          <t>Logistics sales/BD + operations (e-commerce)</t>
        </is>
      </c>
      <c r="I5" s="2" t="inlineStr">
        <is>
          <t>probable</t>
        </is>
      </c>
      <c r="J5" s="2" t="inlineStr">
        <is>
          <t>không rõ</t>
        </is>
      </c>
      <c r="K5" s="2" t="inlineStr">
        <is>
          <t>Profile headline: "Full energy for New Journey", suggests a job change; not an explicit Open to Work</t>
        </is>
      </c>
      <c r="L5" s="3" t="inlineStr">
        <is>
          <t>https://www.linkedin.com/in/thoanguyenthikim/</t>
        </is>
      </c>
      <c r="M5" s="2" t="n">
        <v>43</v>
      </c>
      <c r="N5" s="2" t="inlineStr">
        <is>
          <t>The job-seeking signal is only a headline, not explicit; E-commerce logistics, not forwarding; No data on Sea export / team management</t>
        </is>
      </c>
      <c r="O5" s="3" t="inlineStr">
        <is>
          <t>https://www.linkedin.com/in/thoanguyenthikim/</t>
        </is>
      </c>
      <c r="P5" s="4" t="inlineStr">
        <is>
          <t>Chưa liên hệ</t>
        </is>
      </c>
      <c r="Q5" s="5" t="n"/>
      <c r="R5" s="4" t="n"/>
      <c r="S5" s="4" t="inlineStr">
        <is>
          <t>Chưa phản hồi</t>
        </is>
      </c>
      <c r="T5" s="4" t="inlineStr">
        <is>
          <t>Chưa xác minh</t>
        </is>
      </c>
      <c r="U5" s="4" t="n"/>
    </row>
    <row r="6">
      <c r="A6" s="2" t="n">
        <v>5</v>
      </c>
      <c r="B6" s="2" t="inlineStr">
        <is>
          <t>Theo dõi</t>
        </is>
      </c>
      <c r="C6" s="2" t="inlineStr">
        <is>
          <t>LT-SALES-W01</t>
        </is>
      </c>
      <c r="D6" s="2" t="inlineStr">
        <is>
          <t>Hải Lê Doãn</t>
        </is>
      </c>
      <c r="E6" s="2" t="inlineStr">
        <is>
          <t>Deputy General Manager; Sales Manager at ATAM International Group (since 08/2024)</t>
        </is>
      </c>
      <c r="F6" s="2" t="inlineStr">
        <is>
          <t>NASCO Logistics</t>
        </is>
      </c>
      <c r="G6" s="2" t="inlineStr">
        <is>
          <t>Hà Nội</t>
        </is>
      </c>
      <c r="H6" s="2" t="inlineStr">
        <is>
          <t>Develops sales strategy and leads the sales team; graduated from Foreign Trade University</t>
        </is>
      </c>
      <c r="I6" s="2" t="inlineStr">
        <is>
          <t>unverified</t>
        </is>
      </c>
      <c r="J6" s="2" t="inlineStr"/>
      <c r="K6" s="2" t="inlineStr">
        <is>
          <t>Chưa thấy tín hiệu tìm việc công khai</t>
        </is>
      </c>
      <c r="L6" s="2" t="inlineStr"/>
      <c r="M6" s="2" t="n"/>
      <c r="N6" s="2" t="inlineStr">
        <is>
          <t>Cần hỏi trực tiếp nhu cầu chuyển việc</t>
        </is>
      </c>
      <c r="O6" s="3" t="inlineStr">
        <is>
          <t>https://www.linkedin.com/in/hai-doan-le/</t>
        </is>
      </c>
      <c r="P6" s="4" t="inlineStr">
        <is>
          <t>Chưa liên hệ</t>
        </is>
      </c>
      <c r="Q6" s="5" t="n"/>
      <c r="R6" s="4" t="n"/>
      <c r="S6" s="4" t="inlineStr">
        <is>
          <t>Chưa phản hồi</t>
        </is>
      </c>
      <c r="T6" s="4" t="inlineStr">
        <is>
          <t>Chưa xác minh</t>
        </is>
      </c>
      <c r="U6" s="4" t="n"/>
    </row>
    <row r="7">
      <c r="A7" s="2" t="n">
        <v>6</v>
      </c>
      <c r="B7" s="2" t="inlineStr">
        <is>
          <t>Theo dõi</t>
        </is>
      </c>
      <c r="C7" s="2" t="inlineStr">
        <is>
          <t>LT-SALES-W02</t>
        </is>
      </c>
      <c r="D7" s="2" t="inlineStr">
        <is>
          <t>Tran Manh</t>
        </is>
      </c>
      <c r="E7" s="2" t="inlineStr">
        <is>
          <t>Area Sales Manager</t>
        </is>
      </c>
      <c r="F7" s="2" t="inlineStr">
        <is>
          <t>GEODIS</t>
        </is>
      </c>
      <c r="G7" s="2" t="inlineStr">
        <is>
          <t>Hà Nội</t>
        </is>
      </c>
      <c r="H7" s="2" t="inlineStr">
        <is>
          <t>Area Sales Manager at a global forwarder, Hanoi</t>
        </is>
      </c>
      <c r="I7" s="2" t="inlineStr">
        <is>
          <t>unverified</t>
        </is>
      </c>
      <c r="J7" s="2" t="inlineStr"/>
      <c r="K7" s="2" t="inlineStr">
        <is>
          <t>Chưa thấy tín hiệu tìm việc công khai</t>
        </is>
      </c>
      <c r="L7" s="2" t="inlineStr"/>
      <c r="M7" s="2" t="n"/>
      <c r="N7" s="2" t="inlineStr">
        <is>
          <t>Cần hỏi trực tiếp nhu cầu chuyển việc</t>
        </is>
      </c>
      <c r="O7" s="3" t="inlineStr">
        <is>
          <t>https://vn.linkedin.com/in/tranducmanh</t>
        </is>
      </c>
      <c r="P7" s="4" t="inlineStr">
        <is>
          <t>Chưa liên hệ</t>
        </is>
      </c>
      <c r="Q7" s="5" t="n"/>
      <c r="R7" s="4" t="n"/>
      <c r="S7" s="4" t="inlineStr">
        <is>
          <t>Chưa phản hồi</t>
        </is>
      </c>
      <c r="T7" s="4" t="inlineStr">
        <is>
          <t>Chưa xác minh</t>
        </is>
      </c>
      <c r="U7" s="4" t="n"/>
    </row>
    <row r="8">
      <c r="A8" s="2" t="n">
        <v>7</v>
      </c>
      <c r="B8" s="2" t="inlineStr">
        <is>
          <t>Theo dõi</t>
        </is>
      </c>
      <c r="C8" s="2" t="inlineStr">
        <is>
          <t>LT-SALES-W03</t>
        </is>
      </c>
      <c r="D8" s="2" t="inlineStr">
        <is>
          <t>Alex Quan</t>
        </is>
      </c>
      <c r="E8" s="2" t="inlineStr">
        <is>
          <t>Freight forwarding growth</t>
        </is>
      </c>
      <c r="F8" s="2" t="inlineStr">
        <is>
          <t>(not stated)</t>
        </is>
      </c>
      <c r="G8" s="2" t="inlineStr">
        <is>
          <t>Hà Nội</t>
        </is>
      </c>
      <c r="H8" s="2" t="inlineStr">
        <is>
          <t>Headline: "Driving Growth in Freight Forwarding – Hanoi"</t>
        </is>
      </c>
      <c r="I8" s="2" t="inlineStr">
        <is>
          <t>unverified</t>
        </is>
      </c>
      <c r="J8" s="2" t="inlineStr"/>
      <c r="K8" s="2" t="inlineStr">
        <is>
          <t>Chưa thấy tín hiệu tìm việc công khai</t>
        </is>
      </c>
      <c r="L8" s="2" t="inlineStr"/>
      <c r="M8" s="2" t="n"/>
      <c r="N8" s="2" t="inlineStr">
        <is>
          <t>Cần hỏi trực tiếp nhu cầu chuyển việc</t>
        </is>
      </c>
      <c r="O8" s="3" t="inlineStr">
        <is>
          <t>https://vn.linkedin.com/in/alex-quan-a7b88979</t>
        </is>
      </c>
      <c r="P8" s="4" t="inlineStr">
        <is>
          <t>Chưa liên hệ</t>
        </is>
      </c>
      <c r="Q8" s="5" t="n"/>
      <c r="R8" s="4" t="n"/>
      <c r="S8" s="4" t="inlineStr">
        <is>
          <t>Chưa phản hồi</t>
        </is>
      </c>
      <c r="T8" s="4" t="inlineStr">
        <is>
          <t>Chưa xác minh</t>
        </is>
      </c>
      <c r="U8" s="4" t="n"/>
    </row>
    <row r="9">
      <c r="A9" s="2" t="n">
        <v>8</v>
      </c>
      <c r="B9" s="2" t="inlineStr">
        <is>
          <t>Theo dõi</t>
        </is>
      </c>
      <c r="C9" s="2" t="inlineStr">
        <is>
          <t>LT-SALES-W04</t>
        </is>
      </c>
      <c r="D9" s="2" t="inlineStr">
        <is>
          <t>Phuong Lam Ha</t>
        </is>
      </c>
      <c r="E9" s="2" t="inlineStr">
        <is>
          <t>Senior / Country Key Account Manager</t>
        </is>
      </c>
      <c r="F9" s="2" t="inlineStr">
        <is>
          <t>DSV – Global Transport and Logistics</t>
        </is>
      </c>
      <c r="G9" s="2" t="inlineStr">
        <is>
          <t>Hà Nội</t>
        </is>
      </c>
      <c r="H9" s="2" t="inlineStr">
        <is>
          <t>Previously Sales Manager - Hanoi Branch at DSV; 9+ years; Foreign Trade University</t>
        </is>
      </c>
      <c r="I9" s="2" t="inlineStr">
        <is>
          <t>unverified</t>
        </is>
      </c>
      <c r="J9" s="2" t="inlineStr"/>
      <c r="K9" s="2" t="inlineStr">
        <is>
          <t>Chưa thấy tín hiệu tìm việc công khai</t>
        </is>
      </c>
      <c r="L9" s="2" t="inlineStr"/>
      <c r="M9" s="2" t="n"/>
      <c r="N9" s="2" t="inlineStr">
        <is>
          <t>Cần hỏi trực tiếp nhu cầu chuyển việc</t>
        </is>
      </c>
      <c r="O9" s="3" t="inlineStr">
        <is>
          <t>https://vn.linkedin.com/in/phuong-lam-ha-b77985164</t>
        </is>
      </c>
      <c r="P9" s="4" t="inlineStr">
        <is>
          <t>Chưa liên hệ</t>
        </is>
      </c>
      <c r="Q9" s="5" t="n"/>
      <c r="R9" s="4" t="n"/>
      <c r="S9" s="4" t="inlineStr">
        <is>
          <t>Chưa phản hồi</t>
        </is>
      </c>
      <c r="T9" s="4" t="inlineStr">
        <is>
          <t>Chưa xác minh</t>
        </is>
      </c>
      <c r="U9" s="4" t="n"/>
    </row>
    <row r="10">
      <c r="A10" s="2" t="n">
        <v>9</v>
      </c>
      <c r="B10" s="2" t="inlineStr">
        <is>
          <t>Theo dõi</t>
        </is>
      </c>
      <c r="C10" s="2" t="inlineStr">
        <is>
          <t>LT-SALES-W05</t>
        </is>
      </c>
      <c r="D10" s="2" t="inlineStr">
        <is>
          <t>Mai Linh</t>
        </is>
      </c>
      <c r="E10" s="2" t="inlineStr">
        <is>
          <t>Business Development Director - Logistics Advisor</t>
        </is>
      </c>
      <c r="F10" s="2" t="inlineStr">
        <is>
          <t>(not stated)</t>
        </is>
      </c>
      <c r="G10" s="2" t="inlineStr">
        <is>
          <t>Hà Nội</t>
        </is>
      </c>
      <c r="H10" s="2" t="inlineStr">
        <is>
          <t>Logistics BD in Hanoi and Hai Phong</t>
        </is>
      </c>
      <c r="I10" s="2" t="inlineStr">
        <is>
          <t>unverified</t>
        </is>
      </c>
      <c r="J10" s="2" t="inlineStr"/>
      <c r="K10" s="2" t="inlineStr">
        <is>
          <t>Chưa thấy tín hiệu tìm việc công khai</t>
        </is>
      </c>
      <c r="L10" s="2" t="inlineStr"/>
      <c r="M10" s="2" t="n"/>
      <c r="N10" s="2" t="inlineStr">
        <is>
          <t>Cần hỏi trực tiếp nhu cầu chuyển việc</t>
        </is>
      </c>
      <c r="O10" s="3" t="inlineStr">
        <is>
          <t>https://www.linkedin.com/in/mai-linh-64ab81124/</t>
        </is>
      </c>
      <c r="P10" s="4" t="inlineStr">
        <is>
          <t>Chưa liên hệ</t>
        </is>
      </c>
      <c r="Q10" s="5" t="n"/>
      <c r="R10" s="4" t="n"/>
      <c r="S10" s="4" t="inlineStr">
        <is>
          <t>Chưa phản hồi</t>
        </is>
      </c>
      <c r="T10" s="4" t="inlineStr">
        <is>
          <t>Chưa xác minh</t>
        </is>
      </c>
      <c r="U10" s="4" t="n"/>
    </row>
    <row r="11">
      <c r="A11" s="2" t="n">
        <v>10</v>
      </c>
      <c r="B11" s="2" t="inlineStr">
        <is>
          <t>Theo dõi</t>
        </is>
      </c>
      <c r="C11" s="2" t="inlineStr">
        <is>
          <t>LT-SALES-W06</t>
        </is>
      </c>
      <c r="D11" s="2" t="inlineStr">
        <is>
          <t>DUNG HOANG</t>
        </is>
      </c>
      <c r="E11" s="2" t="inlineStr">
        <is>
          <t>Sales Assistant Manager - Forwarding Service</t>
        </is>
      </c>
      <c r="F11" s="2" t="inlineStr">
        <is>
          <t>(not stated)</t>
        </is>
      </c>
      <c r="G11" s="2" t="inlineStr">
        <is>
          <t>Hà Nội</t>
        </is>
      </c>
      <c r="H11" s="2" t="inlineStr">
        <is>
          <t>Forwarding sales, many years' experience; TOPIK 6, TOEIC 890; Hanoi</t>
        </is>
      </c>
      <c r="I11" s="2" t="inlineStr">
        <is>
          <t>unverified</t>
        </is>
      </c>
      <c r="J11" s="2" t="inlineStr"/>
      <c r="K11" s="2" t="inlineStr">
        <is>
          <t>Chưa thấy tín hiệu tìm việc công khai</t>
        </is>
      </c>
      <c r="L11" s="2" t="inlineStr"/>
      <c r="M11" s="2" t="n"/>
      <c r="N11" s="2" t="inlineStr">
        <is>
          <t>Cần hỏi trực tiếp nhu cầu chuyển việc</t>
        </is>
      </c>
      <c r="O11" s="3" t="inlineStr">
        <is>
          <t>https://www.linkedin.com/in/dunghoang2431995/</t>
        </is>
      </c>
      <c r="P11" s="4" t="inlineStr">
        <is>
          <t>Chưa liên hệ</t>
        </is>
      </c>
      <c r="Q11" s="5" t="n"/>
      <c r="R11" s="4" t="n"/>
      <c r="S11" s="4" t="inlineStr">
        <is>
          <t>Chưa phản hồi</t>
        </is>
      </c>
      <c r="T11" s="4" t="inlineStr">
        <is>
          <t>Chưa xác minh</t>
        </is>
      </c>
      <c r="U11" s="4" t="n"/>
    </row>
    <row r="12">
      <c r="A12" s="2" t="n">
        <v>11</v>
      </c>
      <c r="B12" s="2" t="inlineStr">
        <is>
          <t>Theo dõi</t>
        </is>
      </c>
      <c r="C12" s="2" t="inlineStr">
        <is>
          <t>LT-SALES-W07</t>
        </is>
      </c>
      <c r="D12" s="2" t="inlineStr">
        <is>
          <t>NGUYEN Tien Luc</t>
        </is>
      </c>
      <c r="E12" s="2" t="inlineStr">
        <is>
          <t>Logistics sales</t>
        </is>
      </c>
      <c r="F12" s="2" t="inlineStr">
        <is>
          <t>3A International Logistics JSC (Hanoi forwarder)</t>
        </is>
      </c>
      <c r="G12" s="2" t="inlineStr">
        <is>
          <t>Hà Nội</t>
        </is>
      </c>
      <c r="H12" s="2" t="inlineStr">
        <is>
          <t>Logistics sales, transport &amp; operations</t>
        </is>
      </c>
      <c r="I12" s="2" t="inlineStr">
        <is>
          <t>unverified</t>
        </is>
      </c>
      <c r="J12" s="2" t="inlineStr"/>
      <c r="K12" s="2" t="inlineStr">
        <is>
          <t>Chưa thấy tín hiệu tìm việc công khai</t>
        </is>
      </c>
      <c r="L12" s="2" t="inlineStr"/>
      <c r="M12" s="2" t="n"/>
      <c r="N12" s="2" t="inlineStr">
        <is>
          <t>Cần hỏi trực tiếp nhu cầu chuyển việc</t>
        </is>
      </c>
      <c r="O12" s="3" t="inlineStr">
        <is>
          <t>https://www.linkedin.com/in/nguyen-tien-luc-a8b286b0/</t>
        </is>
      </c>
      <c r="P12" s="4" t="inlineStr">
        <is>
          <t>Chưa liên hệ</t>
        </is>
      </c>
      <c r="Q12" s="5" t="n"/>
      <c r="R12" s="4" t="n"/>
      <c r="S12" s="4" t="inlineStr">
        <is>
          <t>Chưa phản hồi</t>
        </is>
      </c>
      <c r="T12" s="4" t="inlineStr">
        <is>
          <t>Chưa xác minh</t>
        </is>
      </c>
      <c r="U12" s="4" t="n"/>
    </row>
    <row r="13">
      <c r="A13" s="2" t="n">
        <v>12</v>
      </c>
      <c r="B13" s="2" t="inlineStr">
        <is>
          <t>Theo dõi</t>
        </is>
      </c>
      <c r="C13" s="2" t="inlineStr">
        <is>
          <t>LT-SALES-W08</t>
        </is>
      </c>
      <c r="D13" s="2" t="inlineStr">
        <is>
          <t>Quỳnh Nguyễn</t>
        </is>
      </c>
      <c r="E13" s="2" t="inlineStr">
        <is>
          <t>(title not stated)</t>
        </is>
      </c>
      <c r="F13" s="2" t="inlineStr">
        <is>
          <t>Taewoong Global Logistics Vietnam - Hanoi Branch</t>
        </is>
      </c>
      <c r="G13" s="2" t="inlineStr">
        <is>
          <t>Hà Nội</t>
        </is>
      </c>
      <c r="H13" s="2" t="inlineStr">
        <is>
          <t>10+ years in logistics, strong at price negotiation; Vietnam University of Commerce</t>
        </is>
      </c>
      <c r="I13" s="2" t="inlineStr">
        <is>
          <t>unverified</t>
        </is>
      </c>
      <c r="J13" s="2" t="inlineStr"/>
      <c r="K13" s="2" t="inlineStr">
        <is>
          <t>Chưa thấy tín hiệu tìm việc công khai</t>
        </is>
      </c>
      <c r="L13" s="2" t="inlineStr"/>
      <c r="M13" s="2" t="n"/>
      <c r="N13" s="2" t="inlineStr">
        <is>
          <t>Cần hỏi trực tiếp nhu cầu chuyển việc</t>
        </is>
      </c>
      <c r="O13" s="3" t="inlineStr">
        <is>
          <t>https://www.linkedin.com/in/qu%E1%BB%B3nh-nguy%E1%BB%85n-35b715172/</t>
        </is>
      </c>
      <c r="P13" s="4" t="inlineStr">
        <is>
          <t>Chưa liên hệ</t>
        </is>
      </c>
      <c r="Q13" s="5" t="n"/>
      <c r="R13" s="4" t="n"/>
      <c r="S13" s="4" t="inlineStr">
        <is>
          <t>Chưa phản hồi</t>
        </is>
      </c>
      <c r="T13" s="4" t="inlineStr">
        <is>
          <t>Chưa xác minh</t>
        </is>
      </c>
      <c r="U13" s="4" t="n"/>
    </row>
    <row r="14">
      <c r="A14" s="2" t="n">
        <v>13</v>
      </c>
      <c r="B14" s="2" t="inlineStr">
        <is>
          <t>Theo dõi</t>
        </is>
      </c>
      <c r="C14" s="2" t="inlineStr">
        <is>
          <t>LT-SALES-W09</t>
        </is>
      </c>
      <c r="D14" s="2" t="inlineStr">
        <is>
          <t>Nguyen Van Duc</t>
        </is>
      </c>
      <c r="E14" s="2" t="inlineStr">
        <is>
          <t>(title not stated, hiring sales for the team)</t>
        </is>
      </c>
      <c r="F14" s="2" t="inlineStr">
        <is>
          <t>Cargonet Logistics Vietnam (Cầu Giấy)</t>
        </is>
      </c>
      <c r="G14" s="2" t="inlineStr">
        <is>
          <t>Hà Nội</t>
        </is>
      </c>
      <c r="H14" s="2" t="inlineStr">
        <is>
          <t>Hiring sales for a forwarder in Cầu Giấy, likely at team-lead level</t>
        </is>
      </c>
      <c r="I14" s="2" t="inlineStr">
        <is>
          <t>unverified</t>
        </is>
      </c>
      <c r="J14" s="2" t="inlineStr"/>
      <c r="K14" s="2" t="inlineStr">
        <is>
          <t>Chưa thấy tín hiệu tìm việc công khai</t>
        </is>
      </c>
      <c r="L14" s="2" t="inlineStr"/>
      <c r="M14" s="2" t="n"/>
      <c r="N14" s="2" t="inlineStr">
        <is>
          <t>Cần hỏi trực tiếp nhu cầu chuyển việc</t>
        </is>
      </c>
      <c r="O14" s="3" t="inlineStr">
        <is>
          <t>https://www.linkedin.com/in/nguyen-van-duc-227521161/</t>
        </is>
      </c>
      <c r="P14" s="4" t="inlineStr">
        <is>
          <t>Chưa liên hệ</t>
        </is>
      </c>
      <c r="Q14" s="5" t="n"/>
      <c r="R14" s="4" t="n"/>
      <c r="S14" s="4" t="inlineStr">
        <is>
          <t>Chưa phản hồi</t>
        </is>
      </c>
      <c r="T14" s="4" t="inlineStr">
        <is>
          <t>Chưa xác minh</t>
        </is>
      </c>
      <c r="U14" s="4" t="n"/>
    </row>
    <row r="15">
      <c r="A15" s="2" t="n">
        <v>14</v>
      </c>
      <c r="B15" s="2" t="inlineStr">
        <is>
          <t>Theo dõi</t>
        </is>
      </c>
      <c r="C15" s="2" t="inlineStr">
        <is>
          <t>LT-SALES-W10</t>
        </is>
      </c>
      <c r="D15" s="2" t="inlineStr">
        <is>
          <t>Hung PHAM</t>
        </is>
      </c>
      <c r="E15" s="2" t="inlineStr">
        <is>
          <t>Freight Forwarding Sales Manager (09/2019–11/2024)</t>
        </is>
      </c>
      <c r="F15" s="2" t="inlineStr">
        <is>
          <t>Pantos Logistics, Hanoi</t>
        </is>
      </c>
      <c r="G15" s="2" t="inlineStr">
        <is>
          <t>Hà Nội</t>
        </is>
      </c>
      <c r="H15" s="2" t="inlineStr">
        <is>
          <t>5+ years as Forwarding Sales Manager in Hanoi; left Pantos 11/2024, current role unknown, worth contacting</t>
        </is>
      </c>
      <c r="I15" s="2" t="inlineStr">
        <is>
          <t>unverified</t>
        </is>
      </c>
      <c r="J15" s="2" t="inlineStr"/>
      <c r="K15" s="2" t="inlineStr">
        <is>
          <t>Chưa thấy tín hiệu tìm việc công khai</t>
        </is>
      </c>
      <c r="L15" s="2" t="inlineStr"/>
      <c r="M15" s="2" t="n"/>
      <c r="N15" s="2" t="inlineStr">
        <is>
          <t>Cần hỏi trực tiếp nhu cầu chuyển việc</t>
        </is>
      </c>
      <c r="O15" s="3" t="inlineStr">
        <is>
          <t>https://vn.linkedin.com/in/hung-pham-1b027b2b</t>
        </is>
      </c>
      <c r="P15" s="4" t="inlineStr">
        <is>
          <t>Chưa liên hệ</t>
        </is>
      </c>
      <c r="Q15" s="5" t="n"/>
      <c r="R15" s="4" t="n"/>
      <c r="S15" s="4" t="inlineStr">
        <is>
          <t>Chưa phản hồi</t>
        </is>
      </c>
      <c r="T15" s="4" t="inlineStr">
        <is>
          <t>Chưa xác minh</t>
        </is>
      </c>
      <c r="U15" s="4" t="n"/>
    </row>
    <row r="16">
      <c r="A16" s="2" t="n">
        <v>15</v>
      </c>
      <c r="B16" s="2" t="inlineStr">
        <is>
          <t>Theo dõi</t>
        </is>
      </c>
      <c r="C16" s="2" t="inlineStr">
        <is>
          <t>LT-SALES-W11</t>
        </is>
      </c>
      <c r="D16" s="2" t="inlineStr">
        <is>
          <t>Myra Nguyen</t>
        </is>
      </c>
      <c r="E16" s="2" t="inlineStr">
        <is>
          <t>Overseas Business Director</t>
        </is>
      </c>
      <c r="F16" s="2" t="inlineStr">
        <is>
          <t>VIETBILLS Forwarded JSC</t>
        </is>
      </c>
      <c r="G16" s="2" t="inlineStr">
        <is>
          <t>Hà Nội</t>
        </is>
      </c>
      <c r="H16" s="2" t="inlineStr">
        <is>
          <t>15 years in Shipping &amp; Logistics; previously FDI Sales Director at U&amp;I Logistics</t>
        </is>
      </c>
      <c r="I16" s="2" t="inlineStr">
        <is>
          <t>unverified</t>
        </is>
      </c>
      <c r="J16" s="2" t="inlineStr"/>
      <c r="K16" s="2" t="inlineStr">
        <is>
          <t>Chưa thấy tín hiệu tìm việc công khai</t>
        </is>
      </c>
      <c r="L16" s="2" t="inlineStr"/>
      <c r="M16" s="2" t="n"/>
      <c r="N16" s="2" t="inlineStr">
        <is>
          <t>Cần hỏi trực tiếp nhu cầu chuyển việc</t>
        </is>
      </c>
      <c r="O16" s="3" t="inlineStr">
        <is>
          <t>https://vn.linkedin.com/in/myra-nguyen-vietbills-logs-vietnam-a9b262336</t>
        </is>
      </c>
      <c r="P16" s="4" t="inlineStr">
        <is>
          <t>Chưa liên hệ</t>
        </is>
      </c>
      <c r="Q16" s="5" t="n"/>
      <c r="R16" s="4" t="n"/>
      <c r="S16" s="4" t="inlineStr">
        <is>
          <t>Chưa phản hồi</t>
        </is>
      </c>
      <c r="T16" s="4" t="inlineStr">
        <is>
          <t>Chưa xác minh</t>
        </is>
      </c>
      <c r="U16" s="4" t="n"/>
    </row>
    <row r="17">
      <c r="A17" s="2" t="n">
        <v>16</v>
      </c>
      <c r="B17" s="2" t="inlineStr">
        <is>
          <t>Theo dõi</t>
        </is>
      </c>
      <c r="C17" s="2" t="inlineStr">
        <is>
          <t>LT-SALES-W12</t>
        </is>
      </c>
      <c r="D17" s="2" t="inlineStr">
        <is>
          <t>Oanh Vu</t>
        </is>
      </c>
      <c r="E17" s="2" t="inlineStr">
        <is>
          <t>Branch Manager</t>
        </is>
      </c>
      <c r="F17" s="2" t="inlineStr">
        <is>
          <t>Senator International Logistics - Hanoi Branch</t>
        </is>
      </c>
      <c r="G17" s="2" t="inlineStr">
        <is>
          <t>Hà Nội</t>
        </is>
      </c>
      <c r="H17" s="2" t="inlineStr">
        <is>
          <t>~15 years in freight forwarding</t>
        </is>
      </c>
      <c r="I17" s="2" t="inlineStr">
        <is>
          <t>unverified</t>
        </is>
      </c>
      <c r="J17" s="2" t="inlineStr"/>
      <c r="K17" s="2" t="inlineStr">
        <is>
          <t>Chưa thấy tín hiệu tìm việc công khai</t>
        </is>
      </c>
      <c r="L17" s="2" t="inlineStr"/>
      <c r="M17" s="2" t="n"/>
      <c r="N17" s="2" t="inlineStr">
        <is>
          <t>Cần hỏi trực tiếp nhu cầu chuyển việc</t>
        </is>
      </c>
      <c r="O17" s="3" t="inlineStr">
        <is>
          <t>https://vn.linkedin.com/in/oanh-vu-4a7b4194</t>
        </is>
      </c>
      <c r="P17" s="4" t="inlineStr">
        <is>
          <t>Chưa liên hệ</t>
        </is>
      </c>
      <c r="Q17" s="5" t="n"/>
      <c r="R17" s="4" t="n"/>
      <c r="S17" s="4" t="inlineStr">
        <is>
          <t>Chưa phản hồi</t>
        </is>
      </c>
      <c r="T17" s="4" t="inlineStr">
        <is>
          <t>Chưa xác minh</t>
        </is>
      </c>
      <c r="U17" s="4" t="n"/>
    </row>
    <row r="18">
      <c r="A18" s="2" t="n">
        <v>17</v>
      </c>
      <c r="B18" s="2" t="inlineStr">
        <is>
          <t>Theo dõi</t>
        </is>
      </c>
      <c r="C18" s="2" t="inlineStr">
        <is>
          <t>LT-SALES-W13</t>
        </is>
      </c>
      <c r="D18" s="2" t="inlineStr">
        <is>
          <t>Thu Thuy Le</t>
        </is>
      </c>
      <c r="E18" s="2" t="inlineStr">
        <is>
          <t>Branch Manager</t>
        </is>
      </c>
      <c r="F18" s="2" t="inlineStr">
        <is>
          <t>Scan Global Logistics - Hanoi Branch</t>
        </is>
      </c>
      <c r="G18" s="2" t="inlineStr">
        <is>
          <t>Hà Nội</t>
        </is>
      </c>
      <c r="H18" s="2" t="inlineStr">
        <is>
          <t>~20 years; previously Assistant Sales Manager North Vietnam at DHL Global Forwarding Hanoi</t>
        </is>
      </c>
      <c r="I18" s="2" t="inlineStr">
        <is>
          <t>unverified</t>
        </is>
      </c>
      <c r="J18" s="2" t="inlineStr"/>
      <c r="K18" s="2" t="inlineStr">
        <is>
          <t>Chưa thấy tín hiệu tìm việc công khai</t>
        </is>
      </c>
      <c r="L18" s="2" t="inlineStr"/>
      <c r="M18" s="2" t="n"/>
      <c r="N18" s="2" t="inlineStr">
        <is>
          <t>Cần hỏi trực tiếp nhu cầu chuyển việc</t>
        </is>
      </c>
      <c r="O18" s="3" t="inlineStr">
        <is>
          <t>https://vn.linkedin.com/in/thu-thuy-le-169101192</t>
        </is>
      </c>
      <c r="P18" s="4" t="inlineStr">
        <is>
          <t>Chưa liên hệ</t>
        </is>
      </c>
      <c r="Q18" s="5" t="n"/>
      <c r="R18" s="4" t="n"/>
      <c r="S18" s="4" t="inlineStr">
        <is>
          <t>Chưa phản hồi</t>
        </is>
      </c>
      <c r="T18" s="4" t="inlineStr">
        <is>
          <t>Chưa xác minh</t>
        </is>
      </c>
      <c r="U18" s="4" t="n"/>
    </row>
    <row r="19">
      <c r="A19" s="2" t="n">
        <v>18</v>
      </c>
      <c r="B19" s="2" t="inlineStr">
        <is>
          <t>Theo dõi</t>
        </is>
      </c>
      <c r="C19" s="2" t="inlineStr">
        <is>
          <t>LT-SALES-W14</t>
        </is>
      </c>
      <c r="D19" s="2" t="inlineStr">
        <is>
          <t>Ngo Nhat Quang</t>
        </is>
      </c>
      <c r="E19" s="2" t="inlineStr">
        <is>
          <t>Branch Director</t>
        </is>
      </c>
      <c r="F19" s="2" t="inlineStr">
        <is>
          <t>AA Logistics Hanoi</t>
        </is>
      </c>
      <c r="G19" s="2" t="inlineStr">
        <is>
          <t>Hà Nội</t>
        </is>
      </c>
      <c r="H19" s="2" t="inlineStr">
        <is>
          <t>Skills: Freight, Sales, Sales Management</t>
        </is>
      </c>
      <c r="I19" s="2" t="inlineStr">
        <is>
          <t>unverified</t>
        </is>
      </c>
      <c r="J19" s="2" t="inlineStr"/>
      <c r="K19" s="2" t="inlineStr">
        <is>
          <t>Chưa thấy tín hiệu tìm việc công khai</t>
        </is>
      </c>
      <c r="L19" s="2" t="inlineStr"/>
      <c r="M19" s="2" t="n"/>
      <c r="N19" s="2" t="inlineStr">
        <is>
          <t>Cần hỏi trực tiếp nhu cầu chuyển việc</t>
        </is>
      </c>
      <c r="O19" s="3" t="inlineStr">
        <is>
          <t>https://vn.linkedin.com/in/ngo-nhat-quang-52b567a0</t>
        </is>
      </c>
      <c r="P19" s="4" t="inlineStr">
        <is>
          <t>Chưa liên hệ</t>
        </is>
      </c>
      <c r="Q19" s="5" t="n"/>
      <c r="R19" s="4" t="n"/>
      <c r="S19" s="4" t="inlineStr">
        <is>
          <t>Chưa phản hồi</t>
        </is>
      </c>
      <c r="T19" s="4" t="inlineStr">
        <is>
          <t>Chưa xác minh</t>
        </is>
      </c>
      <c r="U19" s="4" t="n"/>
    </row>
    <row r="20">
      <c r="A20" s="2" t="n">
        <v>19</v>
      </c>
      <c r="B20" s="2" t="inlineStr">
        <is>
          <t>Theo dõi</t>
        </is>
      </c>
      <c r="C20" s="2" t="inlineStr">
        <is>
          <t>LT-SALES-W15</t>
        </is>
      </c>
      <c r="D20" s="2" t="inlineStr">
        <is>
          <t>VU KIM CHI</t>
        </is>
      </c>
      <c r="E20" s="2" t="inlineStr">
        <is>
          <t>HNHP Branch Manager (since 01/2026)</t>
        </is>
      </c>
      <c r="F20" s="2" t="inlineStr">
        <is>
          <t>Dragon Logistics Co., Ltd</t>
        </is>
      </c>
      <c r="G20" s="2" t="inlineStr">
        <is>
          <t>Hà Nội</t>
        </is>
      </c>
      <c r="H20" s="2" t="inlineStr">
        <is>
          <t>Previously First Deputy General Director at Dragon Logistics</t>
        </is>
      </c>
      <c r="I20" s="2" t="inlineStr">
        <is>
          <t>unverified</t>
        </is>
      </c>
      <c r="J20" s="2" t="inlineStr"/>
      <c r="K20" s="2" t="inlineStr">
        <is>
          <t>Chưa thấy tín hiệu tìm việc công khai</t>
        </is>
      </c>
      <c r="L20" s="2" t="inlineStr"/>
      <c r="M20" s="2" t="n"/>
      <c r="N20" s="2" t="inlineStr">
        <is>
          <t>Cần hỏi trực tiếp nhu cầu chuyển việc</t>
        </is>
      </c>
      <c r="O20" s="3" t="inlineStr">
        <is>
          <t>https://vn.linkedin.com/in/vu-kim-chi-7a810734</t>
        </is>
      </c>
      <c r="P20" s="4" t="inlineStr">
        <is>
          <t>Chưa liên hệ</t>
        </is>
      </c>
      <c r="Q20" s="5" t="n"/>
      <c r="R20" s="4" t="n"/>
      <c r="S20" s="4" t="inlineStr">
        <is>
          <t>Chưa phản hồi</t>
        </is>
      </c>
      <c r="T20" s="4" t="inlineStr">
        <is>
          <t>Chưa xác minh</t>
        </is>
      </c>
      <c r="U20" s="4" t="n"/>
    </row>
    <row r="21">
      <c r="A21" s="2" t="n">
        <v>20</v>
      </c>
      <c r="B21" s="2" t="inlineStr">
        <is>
          <t>Theo dõi</t>
        </is>
      </c>
      <c r="C21" s="2" t="inlineStr">
        <is>
          <t>LT-SALES-W16</t>
        </is>
      </c>
      <c r="D21" s="2" t="inlineStr">
        <is>
          <t>Truong Pham</t>
        </is>
      </c>
      <c r="E21" s="2" t="inlineStr">
        <is>
          <t>Sales Manager</t>
        </is>
      </c>
      <c r="F21" s="2" t="inlineStr">
        <is>
          <t>Vietnam Post Logistics</t>
        </is>
      </c>
      <c r="G21" s="2" t="inlineStr">
        <is>
          <t>Hà Nội</t>
        </is>
      </c>
      <c r="H21" s="2" t="inlineStr">
        <is>
          <t>Foreign Trade University Hanoi graduate</t>
        </is>
      </c>
      <c r="I21" s="2" t="inlineStr">
        <is>
          <t>unverified</t>
        </is>
      </c>
      <c r="J21" s="2" t="inlineStr"/>
      <c r="K21" s="2" t="inlineStr">
        <is>
          <t>Chưa thấy tín hiệu tìm việc công khai</t>
        </is>
      </c>
      <c r="L21" s="2" t="inlineStr"/>
      <c r="M21" s="2" t="n"/>
      <c r="N21" s="2" t="inlineStr">
        <is>
          <t>Cần hỏi trực tiếp nhu cầu chuyển việc</t>
        </is>
      </c>
      <c r="O21" s="3" t="inlineStr">
        <is>
          <t>https://vn.linkedin.com/in/truong-pham-24907531a</t>
        </is>
      </c>
      <c r="P21" s="4" t="inlineStr">
        <is>
          <t>Chưa liên hệ</t>
        </is>
      </c>
      <c r="Q21" s="5" t="n"/>
      <c r="R21" s="4" t="n"/>
      <c r="S21" s="4" t="inlineStr">
        <is>
          <t>Chưa phản hồi</t>
        </is>
      </c>
      <c r="T21" s="4" t="inlineStr">
        <is>
          <t>Chưa xác minh</t>
        </is>
      </c>
      <c r="U21" s="4" t="n"/>
    </row>
    <row r="22">
      <c r="A22" s="2" t="n">
        <v>21</v>
      </c>
      <c r="B22" s="2" t="inlineStr">
        <is>
          <t>Theo dõi</t>
        </is>
      </c>
      <c r="C22" s="2" t="inlineStr">
        <is>
          <t>LT-SALES-W17</t>
        </is>
      </c>
      <c r="D22" s="2" t="inlineStr">
        <is>
          <t>Tran Huu Nam</t>
        </is>
      </c>
      <c r="E22" s="2" t="inlineStr">
        <is>
          <t>Sales Manager</t>
        </is>
      </c>
      <c r="F22" s="2" t="inlineStr">
        <is>
          <t>Scan Global Logistics</t>
        </is>
      </c>
      <c r="G22" s="2" t="inlineStr">
        <is>
          <t>Hà Nội</t>
        </is>
      </c>
      <c r="H22" s="2" t="inlineStr">
        <is>
          <t>Previously Sales Supervisor at EUSU Logistics; Hanoi University (location not specified)</t>
        </is>
      </c>
      <c r="I22" s="2" t="inlineStr">
        <is>
          <t>unverified</t>
        </is>
      </c>
      <c r="J22" s="2" t="inlineStr"/>
      <c r="K22" s="2" t="inlineStr">
        <is>
          <t>Chưa thấy tín hiệu tìm việc công khai</t>
        </is>
      </c>
      <c r="L22" s="2" t="inlineStr"/>
      <c r="M22" s="2" t="n"/>
      <c r="N22" s="2" t="inlineStr">
        <is>
          <t>Cần hỏi trực tiếp nhu cầu chuyển việc</t>
        </is>
      </c>
      <c r="O22" s="3" t="inlineStr">
        <is>
          <t>https://vn.linkedin.com/in/tran-huu-nam-157945100</t>
        </is>
      </c>
      <c r="P22" s="4" t="inlineStr">
        <is>
          <t>Chưa liên hệ</t>
        </is>
      </c>
      <c r="Q22" s="5" t="n"/>
      <c r="R22" s="4" t="n"/>
      <c r="S22" s="4" t="inlineStr">
        <is>
          <t>Chưa phản hồi</t>
        </is>
      </c>
      <c r="T22" s="4" t="inlineStr">
        <is>
          <t>Chưa xác minh</t>
        </is>
      </c>
      <c r="U22" s="4" t="n"/>
    </row>
    <row r="23">
      <c r="A23" s="2" t="n">
        <v>22</v>
      </c>
      <c r="B23" s="2" t="inlineStr">
        <is>
          <t>Theo dõi</t>
        </is>
      </c>
      <c r="C23" s="2" t="inlineStr">
        <is>
          <t>LT-SALES-W18</t>
        </is>
      </c>
      <c r="D23" s="2" t="inlineStr">
        <is>
          <t>Vương Vũ Minh</t>
        </is>
      </c>
      <c r="E23" s="2" t="inlineStr">
        <is>
          <t>Cargo Sales Supervisor</t>
        </is>
      </c>
      <c r="F23" s="2" t="inlineStr">
        <is>
          <t>VIVA Cargo INTL Logistics</t>
        </is>
      </c>
      <c r="G23" s="2" t="inlineStr">
        <is>
          <t>Hà Nội</t>
        </is>
      </c>
      <c r="H23" s="2" t="inlineStr">
        <is>
          <t>Sales supervisor at a forwarder, Hanoi</t>
        </is>
      </c>
      <c r="I23" s="2" t="inlineStr">
        <is>
          <t>unverified</t>
        </is>
      </c>
      <c r="J23" s="2" t="inlineStr"/>
      <c r="K23" s="2" t="inlineStr">
        <is>
          <t>Chưa thấy tín hiệu tìm việc công khai</t>
        </is>
      </c>
      <c r="L23" s="2" t="inlineStr"/>
      <c r="M23" s="2" t="n"/>
      <c r="N23" s="2" t="inlineStr">
        <is>
          <t>Cần hỏi trực tiếp nhu cầu chuyển việc</t>
        </is>
      </c>
      <c r="O23" s="3" t="inlineStr">
        <is>
          <t>https://vn.linkedin.com/in/v%C6%B0%C6%A1ng-v%C5%A9-minh-83632b215</t>
        </is>
      </c>
      <c r="P23" s="4" t="inlineStr">
        <is>
          <t>Chưa liên hệ</t>
        </is>
      </c>
      <c r="Q23" s="5" t="n"/>
      <c r="R23" s="4" t="n"/>
      <c r="S23" s="4" t="inlineStr">
        <is>
          <t>Chưa phản hồi</t>
        </is>
      </c>
      <c r="T23" s="4" t="inlineStr">
        <is>
          <t>Chưa xác minh</t>
        </is>
      </c>
      <c r="U23" s="4" t="n"/>
    </row>
    <row r="24">
      <c r="A24" s="2" t="n">
        <v>23</v>
      </c>
      <c r="B24" s="2" t="inlineStr">
        <is>
          <t>Theo dõi</t>
        </is>
      </c>
      <c r="C24" s="2" t="inlineStr">
        <is>
          <t>LT-SALES-W19</t>
        </is>
      </c>
      <c r="D24" s="2" t="inlineStr">
        <is>
          <t>Huong Nguyen</t>
        </is>
      </c>
      <c r="E24" s="2" t="inlineStr">
        <is>
          <t>Country Head of Airfreight</t>
        </is>
      </c>
      <c r="F24" s="2" t="inlineStr">
        <is>
          <t>Toll Group</t>
        </is>
      </c>
      <c r="G24" s="2" t="inlineStr">
        <is>
          <t>Hà Nội</t>
        </is>
      </c>
      <c r="H24" s="2" t="inlineStr">
        <is>
          <t>Previously Branch Manager of Toll Global Forwarding Hanoi; strong in air freight, over-senior for the role</t>
        </is>
      </c>
      <c r="I24" s="2" t="inlineStr">
        <is>
          <t>unverified</t>
        </is>
      </c>
      <c r="J24" s="2" t="inlineStr"/>
      <c r="K24" s="2" t="inlineStr">
        <is>
          <t>Chưa thấy tín hiệu tìm việc công khai</t>
        </is>
      </c>
      <c r="L24" s="2" t="inlineStr"/>
      <c r="M24" s="2" t="n"/>
      <c r="N24" s="2" t="inlineStr">
        <is>
          <t>Cần hỏi trực tiếp nhu cầu chuyển việc</t>
        </is>
      </c>
      <c r="O24" s="3" t="inlineStr">
        <is>
          <t>https://vn.linkedin.com/in/huong-nguyen-230a3b46</t>
        </is>
      </c>
      <c r="P24" s="4" t="inlineStr">
        <is>
          <t>Chưa liên hệ</t>
        </is>
      </c>
      <c r="Q24" s="5" t="n"/>
      <c r="R24" s="4" t="n"/>
      <c r="S24" s="4" t="inlineStr">
        <is>
          <t>Chưa phản hồi</t>
        </is>
      </c>
      <c r="T24" s="4" t="inlineStr">
        <is>
          <t>Chưa xác minh</t>
        </is>
      </c>
      <c r="U24" s="4" t="n"/>
    </row>
  </sheetData>
  <autoFilter ref="A1:U24"/>
  <conditionalFormatting sqref="P2:P24">
    <cfRule type="cellIs" priority="1" operator="equal" dxfId="0">
      <formula>"Đã liên hệ"</formula>
    </cfRule>
  </conditionalFormatting>
  <conditionalFormatting sqref="T2:T24">
    <cfRule type="cellIs" priority="2" operator="equal" dxfId="0">
      <formula>"Đang tìm việc"</formula>
    </cfRule>
  </conditionalFormatting>
  <dataValidations count="5">
    <dataValidation sqref="P2:P24" showDropDown="0" showInputMessage="0" showErrorMessage="0" allowBlank="1" type="list">
      <formula1>"Chưa liên hệ,Đã liên hệ,Không liên hệ được"</formula1>
    </dataValidation>
    <dataValidation sqref="R2:R24" showDropDown="0" showInputMessage="0" showErrorMessage="0" allowBlank="1" type="list">
      <formula1>"LinkedIn InMail,LinkedIn kết nối,Email,Điện thoại/Zalo,Giới thiệu,Khác"</formula1>
    </dataValidation>
    <dataValidation sqref="S2:S24" showDropDown="0" showInputMessage="0" showErrorMessage="0" allowBlank="1" type="list">
      <formula1>"Chưa phản hồi,Quan tâm,Không quan tâm,Hẹn phỏng vấn,Từ chối"</formula1>
    </dataValidation>
    <dataValidation sqref="T2:T24" showDropDown="0" showInputMessage="0" showErrorMessage="0" allowBlank="1" type="list">
      <formula1>"Chưa xác minh,Đang tìm việc,Đang làm việc - mở cơ hội,Đang làm việc - không đổi việc,Đã nhận offer nơi khác"</formula1>
    </dataValidation>
    <dataValidation sqref="Q2:Q24" showDropDown="0" showInputMessage="0" showErrorMessage="0" allowBlank="1" type="date" operator="greaterThan">
      <formula1>DATE(2020,1,1)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O2" r:id="rId2"/>
    <hyperlink xmlns:r="http://schemas.openxmlformats.org/officeDocument/2006/relationships" ref="L3" r:id="rId3"/>
    <hyperlink xmlns:r="http://schemas.openxmlformats.org/officeDocument/2006/relationships" ref="O3" r:id="rId4"/>
    <hyperlink xmlns:r="http://schemas.openxmlformats.org/officeDocument/2006/relationships" ref="L4" r:id="rId5"/>
    <hyperlink xmlns:r="http://schemas.openxmlformats.org/officeDocument/2006/relationships" ref="O4" r:id="rId6"/>
    <hyperlink xmlns:r="http://schemas.openxmlformats.org/officeDocument/2006/relationships" ref="L5" r:id="rId7"/>
    <hyperlink xmlns:r="http://schemas.openxmlformats.org/officeDocument/2006/relationships" ref="O5" r:id="rId8"/>
    <hyperlink xmlns:r="http://schemas.openxmlformats.org/officeDocument/2006/relationships" ref="O6" r:id="rId9"/>
    <hyperlink xmlns:r="http://schemas.openxmlformats.org/officeDocument/2006/relationships" ref="O7" r:id="rId10"/>
    <hyperlink xmlns:r="http://schemas.openxmlformats.org/officeDocument/2006/relationships" ref="O8" r:id="rId11"/>
    <hyperlink xmlns:r="http://schemas.openxmlformats.org/officeDocument/2006/relationships" ref="O9" r:id="rId12"/>
    <hyperlink xmlns:r="http://schemas.openxmlformats.org/officeDocument/2006/relationships" ref="O10" r:id="rId13"/>
    <hyperlink xmlns:r="http://schemas.openxmlformats.org/officeDocument/2006/relationships" ref="O11" r:id="rId14"/>
    <hyperlink xmlns:r="http://schemas.openxmlformats.org/officeDocument/2006/relationships" ref="O12" r:id="rId15"/>
    <hyperlink xmlns:r="http://schemas.openxmlformats.org/officeDocument/2006/relationships" ref="O13" r:id="rId16"/>
    <hyperlink xmlns:r="http://schemas.openxmlformats.org/officeDocument/2006/relationships" ref="O14" r:id="rId17"/>
    <hyperlink xmlns:r="http://schemas.openxmlformats.org/officeDocument/2006/relationships" ref="O15" r:id="rId18"/>
    <hyperlink xmlns:r="http://schemas.openxmlformats.org/officeDocument/2006/relationships" ref="O16" r:id="rId19"/>
    <hyperlink xmlns:r="http://schemas.openxmlformats.org/officeDocument/2006/relationships" ref="O17" r:id="rId20"/>
    <hyperlink xmlns:r="http://schemas.openxmlformats.org/officeDocument/2006/relationships" ref="O18" r:id="rId21"/>
    <hyperlink xmlns:r="http://schemas.openxmlformats.org/officeDocument/2006/relationships" ref="O19" r:id="rId22"/>
    <hyperlink xmlns:r="http://schemas.openxmlformats.org/officeDocument/2006/relationships" ref="O20" r:id="rId23"/>
    <hyperlink xmlns:r="http://schemas.openxmlformats.org/officeDocument/2006/relationships" ref="O21" r:id="rId24"/>
    <hyperlink xmlns:r="http://schemas.openxmlformats.org/officeDocument/2006/relationships" ref="O22" r:id="rId25"/>
    <hyperlink xmlns:r="http://schemas.openxmlformats.org/officeDocument/2006/relationships" ref="O23" r:id="rId26"/>
    <hyperlink xmlns:r="http://schemas.openxmlformats.org/officeDocument/2006/relationships" ref="O24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s="6" t="inlineStr">
        <is>
          <t>Tổng số hồ sơ (Hà Nội)</t>
        </is>
      </c>
      <c r="B2" s="6">
        <f>COUNTA('Ứng viên'!D2:D24)</f>
        <v/>
      </c>
    </row>
    <row r="3">
      <c r="A3" s="6" t="inlineStr">
        <is>
          <t>Ứng viên chính (có tín hiệu tìm việc)</t>
        </is>
      </c>
      <c r="B3" s="6">
        <f>COUNTIF('Ứng viên'!B2:B24,"Chính")</f>
        <v/>
      </c>
    </row>
    <row r="4">
      <c r="A4" s="6" t="inlineStr">
        <is>
          <t>Open to Work confirmed</t>
        </is>
      </c>
      <c r="B4" s="6">
        <f>COUNTIF('Ứng viên'!I2:I24,"confirmed")</f>
        <v/>
      </c>
    </row>
    <row r="5">
      <c r="A5" s="6" t="inlineStr">
        <is>
          <t>Open to Work probable</t>
        </is>
      </c>
      <c r="B5" s="6">
        <f>COUNTIF('Ứng viên'!I2:I24,"probable")</f>
        <v/>
      </c>
    </row>
    <row r="6">
      <c r="A6" s="6" t="inlineStr">
        <is>
          <t>Danh sách theo dõi</t>
        </is>
      </c>
      <c r="B6" s="6">
        <f>COUNTIF('Ứng viên'!B2:B24,"Theo dõi")</f>
        <v/>
      </c>
    </row>
    <row r="7">
      <c r="A7" s="6" t="inlineStr">
        <is>
          <t>Đã liên hệ</t>
        </is>
      </c>
      <c r="B7" s="6">
        <f>COUNTIF('Ứng viên'!P2:P24,"Đã liên hệ")</f>
        <v/>
      </c>
    </row>
    <row r="8">
      <c r="A8" s="6" t="inlineStr">
        <is>
          <t>Chưa liên hệ</t>
        </is>
      </c>
      <c r="B8" s="6">
        <f>COUNTIF('Ứng viên'!P2:P24,"Chưa liên hệ")</f>
        <v/>
      </c>
    </row>
    <row r="9">
      <c r="A9" s="6" t="inlineStr">
        <is>
          <t>Tỷ lệ đã liên hệ</t>
        </is>
      </c>
      <c r="B9" s="7">
        <f>IFERROR(B7/B2,0)</f>
        <v/>
      </c>
    </row>
    <row r="10">
      <c r="A10" s="6" t="inlineStr">
        <is>
          <t>Phản hồi quan tâm</t>
        </is>
      </c>
      <c r="B10" s="6">
        <f>COUNTIF('Ứng viên'!S2:S24,"Quan tâm")</f>
        <v/>
      </c>
    </row>
    <row r="11">
      <c r="A11" s="6" t="inlineStr">
        <is>
          <t>Hẹn phỏng vấn</t>
        </is>
      </c>
      <c r="B11" s="6">
        <f>COUNTIF('Ứng viên'!S2:S24,"Hẹn phỏng vấn")</f>
        <v/>
      </c>
    </row>
    <row r="12">
      <c r="A12" s="6" t="inlineStr">
        <is>
          <t>Trạng thái: Đang tìm việc</t>
        </is>
      </c>
      <c r="B12" s="6">
        <f>COUNTIF('Ứng viên'!T2:T24,"Đang tìm việc")</f>
        <v/>
      </c>
    </row>
    <row r="13">
      <c r="A13" s="6" t="inlineStr">
        <is>
          <t>Trạng thái: Chưa xác minh</t>
        </is>
      </c>
      <c r="B13" s="6">
        <f>COUNTIF('Ứng viên'!T2:T24,"Chưa xác minh")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70" customWidth="1" min="3" max="3"/>
  </cols>
  <sheetData>
    <row r="1">
      <c r="A1" s="1" t="inlineStr">
        <is>
          <t>Họ tên</t>
        </is>
      </c>
      <c r="B1" s="1" t="inlineStr">
        <is>
          <t>LinkedIn</t>
        </is>
      </c>
      <c r="C1" s="1" t="inlineStr">
        <is>
          <t>Lý do loại</t>
        </is>
      </c>
    </row>
    <row r="2">
      <c r="A2" s="2" t="inlineStr">
        <is>
          <t>Hung Cuong (Marcus)</t>
        </is>
      </c>
      <c r="B2" s="3" t="inlineStr">
        <is>
          <t>https://www.linkedin.com/in/hung-cuong-marcus-a690a899/</t>
        </is>
      </c>
      <c r="C2" s="2" t="inlineStr">
        <is>
          <t>Confirmed OTW (30/08/2026) but based in HCM, excluded per the Hanoi requirement</t>
        </is>
      </c>
    </row>
    <row r="3">
      <c r="A3" s="2" t="inlineStr">
        <is>
          <t>Thu Ngan Nguyen</t>
        </is>
      </c>
      <c r="B3" s="3" t="inlineStr">
        <is>
          <t>https://www.linkedin.com/in/thu-ngan-nguyen-826934104/</t>
        </is>
      </c>
      <c r="C3" s="2" t="inlineStr">
        <is>
          <t>Could not verify a Hanoi location (the company has offices in HCM/Hưng Yên/Hà Nội); add back if confirmed in Hanoi</t>
        </is>
      </c>
    </row>
    <row r="4">
      <c r="A4" s="2" t="inlineStr">
        <is>
          <t>Number 1 / Nguyen Linh</t>
        </is>
      </c>
      <c r="B4" s="3" t="inlineStr">
        <is>
          <t>https://www.linkedin.com/in/number1vn/</t>
        </is>
      </c>
      <c r="C4" s="2" t="inlineStr">
        <is>
          <t>Logistics operations (DHL-VNPT, VinFast), not sales; one profile has no real name</t>
        </is>
      </c>
    </row>
    <row r="5">
      <c r="A5" s="2" t="inlineStr">
        <is>
          <t>Tuan Nguyen</t>
        </is>
      </c>
      <c r="B5" s="3" t="inlineStr">
        <is>
          <t>https://www.linkedin.com/in/tuan-nguyen-8343b633a/</t>
        </is>
      </c>
      <c r="C5" s="2" t="inlineStr">
        <is>
          <t>Looking for Head of Operations in FMCG/retail</t>
        </is>
      </c>
    </row>
    <row r="6">
      <c r="A6" s="2" t="inlineStr">
        <is>
          <t>Lương Thu Phương</t>
        </is>
      </c>
      <c r="B6" s="3" t="inlineStr">
        <is>
          <t>https://www.linkedin.com/in/l%C6%B0%C6%A1ng-thu-ph%C6%B0%C6%A1ng-a761a6140/</t>
        </is>
      </c>
      <c r="C6" s="2" t="inlineStr">
        <is>
          <t>OTW but sales admin/coordinator, not manager level</t>
        </is>
      </c>
    </row>
    <row r="7">
      <c r="A7" s="2" t="inlineStr">
        <is>
          <t>Phuong Linh Nguyen</t>
        </is>
      </c>
      <c r="B7" s="3" t="inlineStr">
        <is>
          <t>https://www.linkedin.com/in/-linh/</t>
        </is>
      </c>
      <c r="C7" s="2" t="inlineStr">
        <is>
          <t>OTW status has been turned off; e-commerce delivery (GHN)</t>
        </is>
      </c>
    </row>
    <row r="8">
      <c r="A8" s="2" t="inlineStr">
        <is>
          <t>Minh Tâm Nguyễn</t>
        </is>
      </c>
      <c r="B8" s="3" t="inlineStr">
        <is>
          <t>https://www.linkedin.com/in/minh-t%C3%A2m-nguy%E1%BB%85n-91094b170/</t>
        </is>
      </c>
      <c r="C8" s="2" t="inlineStr">
        <is>
          <t>Location not verified as Hanoi</t>
        </is>
      </c>
    </row>
    <row r="9">
      <c r="A9" s="2" t="inlineStr">
        <is>
          <t>Ha Nguyen Thu / Hạ Phan Headhunt</t>
        </is>
      </c>
      <c r="B9" s="3" t="inlineStr">
        <is>
          <t>https://vn.linkedin.com/in/haphanhr</t>
        </is>
      </c>
      <c r="C9" s="2" t="inlineStr">
        <is>
          <t>Recruiter/headhunter posting jobs, not a candidate</t>
        </is>
      </c>
    </row>
    <row r="10">
      <c r="A10" s="2" t="inlineStr">
        <is>
          <t>#mc277hm (MyConnect)</t>
        </is>
      </c>
      <c r="B10" s="3" t="inlineStr">
        <is>
          <t>https://vn.linkedin.com/posts/manhdk_mc277hm-myconnect-opentowork-activity-7488918936474836992-ivQz</t>
        </is>
      </c>
      <c r="C10" s="2" t="inlineStr">
        <is>
          <t>OTW 2026 but anonymous candidate, Fintech/Payment field</t>
        </is>
      </c>
    </row>
    <row r="11">
      <c r="A11" s="2" t="inlineStr">
        <is>
          <t>Lê Duy Vinh</t>
        </is>
      </c>
      <c r="B11" s="3" t="inlineStr">
        <is>
          <t>https://vn.linkedin.com/in/l%C3%AA-duy-vinh-05b24b64</t>
        </is>
      </c>
      <c r="C11" s="2" t="inlineStr">
        <is>
          <t>'Looking for new opportunities' but a Hub Manager (operations), location unknown</t>
        </is>
      </c>
    </row>
    <row r="12">
      <c r="A12" s="2" t="inlineStr">
        <is>
          <t>Hoang Yen Do</t>
        </is>
      </c>
      <c r="B12" s="3" t="inlineStr">
        <is>
          <t>https://vn.linkedin.com/in/hoang-yen-do-134881176</t>
        </is>
      </c>
      <c r="C12" s="2" t="inlineStr">
        <is>
          <t>OTW but based in HCM, customer service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Cách dùng</t>
        </is>
      </c>
      <c r="B1" s="9" t="inlineStr"/>
    </row>
    <row r="2">
      <c r="A2" s="9" t="inlineStr">
        <is>
          <t>Ô nền vàng (cột P–U)</t>
        </is>
      </c>
      <c r="B2" s="9" t="inlineStr">
        <is>
          <t>Bạn tự cập nhật, chọn từ danh sách thả xuống</t>
        </is>
      </c>
    </row>
    <row r="3">
      <c r="A3" s="9" t="inlineStr">
        <is>
          <t>Ví dụ 1 dòng</t>
        </is>
      </c>
      <c r="B3" s="9" t="inlineStr">
        <is>
          <t>Đã liên hệ | 29/09/2026 | LinkedIn InMail | Quan tâm | Đang tìm việc | Hẹn gọi 01/10</t>
        </is>
      </c>
    </row>
    <row r="4">
      <c r="A4" s="9" t="inlineStr">
        <is>
          <t>Phạm vi</t>
        </is>
      </c>
      <c r="B4" s="9" t="inlineStr">
        <is>
          <t>CHỈ ứng viên ở Hà Nội. Trưởng phòng Kinh doanh logistics/forwarding, Sea xuất, Cầu Giấy, 25-30tr + KPI</t>
        </is>
      </c>
    </row>
    <row r="5">
      <c r="A5" s="9" t="inlineStr">
        <is>
          <t>Nguồn</t>
        </is>
      </c>
      <c r="B5" s="9" t="inlineStr">
        <is>
          <t>Apify Google Search Scraper + RAG Web Browser + tìm kiếm web trên hồ sơ/bài đăng LinkedIn công khai; cập nhật 28/09/2026; không đăng nhập</t>
        </is>
      </c>
    </row>
    <row r="6">
      <c r="A6" s="9" t="inlineStr">
        <is>
          <t>Open to Work</t>
        </is>
      </c>
      <c r="B6" s="9" t="inlineStr">
        <is>
          <t>confirmed = ghi rõ đang tìm việc; probable = có tín hiệu nhưng chưa rõ ràng hoặc đã cũ; unverified = chưa thấy tín hiệu</t>
        </is>
      </c>
    </row>
    <row r="7">
      <c r="A7" s="9" t="inlineStr">
        <is>
          <t>Chấm điểm (100)</t>
        </is>
      </c>
      <c r="B7" s="9" t="inlineStr">
        <is>
          <t>OTW 20 · cấp Sales Leader/Manager 20 · logistics/forwarding B2B 20 · Sea xuất 15 · quản lý team 15 · ở Hà Nội 10. Thiếu dữ liệu = 0 điểm</t>
        </is>
      </c>
    </row>
    <row r="8">
      <c r="A8" s="9" t="inlineStr">
        <is>
          <t>Giới tính</t>
        </is>
      </c>
      <c r="B8" s="9" t="inlineStr">
        <is>
          <t>'Ưu tiên Nam' trong JD KHÔNG được dùng để lọc hay chấm điểm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2026-09-28T07:11:00Z</dcterms:created>
  <dcterms:modified xsi:type="dcterms:W3CDTF">2026-09-28T07:11:00Z</dcterms:modified>
</cp:coreProperties>
</file>