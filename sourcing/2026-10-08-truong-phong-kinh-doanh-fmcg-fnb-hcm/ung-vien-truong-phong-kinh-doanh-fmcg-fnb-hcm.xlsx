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Ứng viên" sheetId="1" state="visible" r:id="rId1"/>
    <sheet name="Tổng hợp" sheetId="2" state="visible" r:id="rId2"/>
    <sheet name="Đã loại" sheetId="3" state="visible" r:id="rId3"/>
    <sheet name="Hướng dẫn" sheetId="4" state="visible" r:id="rId4"/>
  </sheets>
  <definedNames>
    <definedName name="_xlnm._FilterDatabase" localSheetId="0" hidden="1">'Ứng viên'!$A$1:$U$27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4" fontId="2" fillId="3" borderId="1" applyAlignment="1" pivotButton="0" quotePrefix="0" xfId="0">
      <alignment vertical="top" wrapText="1"/>
    </xf>
    <xf numFmtId="0" fontId="2" fillId="0" borderId="1" pivotButton="0" quotePrefix="0" xfId="0"/>
    <xf numFmtId="9" fontId="2" fillId="0" borderId="1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vn.linkedin.com/in/nguyen-minh-hoang-a776a9334" TargetMode="External" Id="rId1" /><Relationship Type="http://schemas.openxmlformats.org/officeDocument/2006/relationships/hyperlink" Target="https://vn.linkedin.com/in/nguyen-minh-hoang-a776a9334" TargetMode="External" Id="rId2" /><Relationship Type="http://schemas.openxmlformats.org/officeDocument/2006/relationships/hyperlink" Target="https://vn.linkedin.com/in/justin-nguyen-03421092" TargetMode="External" Id="rId3" /><Relationship Type="http://schemas.openxmlformats.org/officeDocument/2006/relationships/hyperlink" Target="https://vn.linkedin.com/in/justin-nguyen-03421092" TargetMode="External" Id="rId4" /><Relationship Type="http://schemas.openxmlformats.org/officeDocument/2006/relationships/hyperlink" Target="https://vn.linkedin.com/in/nhat-nguyen-the-duc-47664986" TargetMode="External" Id="rId5" /><Relationship Type="http://schemas.openxmlformats.org/officeDocument/2006/relationships/hyperlink" Target="https://vn.linkedin.com/in/nhat-nguyen-the-duc-47664986" TargetMode="External" Id="rId6" /><Relationship Type="http://schemas.openxmlformats.org/officeDocument/2006/relationships/hyperlink" Target="https://vn.linkedin.com/in/khiem-quach-55a42927" TargetMode="External" Id="rId7" /><Relationship Type="http://schemas.openxmlformats.org/officeDocument/2006/relationships/hyperlink" Target="https://vn.linkedin.com/in/khiem-quach-55a42927" TargetMode="External" Id="rId8" /><Relationship Type="http://schemas.openxmlformats.org/officeDocument/2006/relationships/hyperlink" Target="https://vn.linkedin.com/in/nguy%E1%BB%85n-phi-v%C5%A9" TargetMode="External" Id="rId9" /><Relationship Type="http://schemas.openxmlformats.org/officeDocument/2006/relationships/hyperlink" Target="https://vn.linkedin.com/in/nguy%E1%BB%85n-phi-v%C5%A9" TargetMode="External" Id="rId10" /><Relationship Type="http://schemas.openxmlformats.org/officeDocument/2006/relationships/hyperlink" Target="https://vn.linkedin.com/in/nhan-vo-86087ab1" TargetMode="External" Id="rId11" /><Relationship Type="http://schemas.openxmlformats.org/officeDocument/2006/relationships/hyperlink" Target="https://vn.linkedin.com/in/nhan-vo-86087ab1" TargetMode="External" Id="rId12" /><Relationship Type="http://schemas.openxmlformats.org/officeDocument/2006/relationships/hyperlink" Target="https://vn.linkedin.com/in/ben-nguyen-2585b393" TargetMode="External" Id="rId13" /><Relationship Type="http://schemas.openxmlformats.org/officeDocument/2006/relationships/hyperlink" Target="https://vn.linkedin.com/in/ben-nguyen-2585b393" TargetMode="External" Id="rId14" /><Relationship Type="http://schemas.openxmlformats.org/officeDocument/2006/relationships/hyperlink" Target="https://vn.linkedin.com/in/phanxuanthuong" TargetMode="External" Id="rId15" /><Relationship Type="http://schemas.openxmlformats.org/officeDocument/2006/relationships/hyperlink" Target="https://vn.linkedin.com/in/phanxuanthuong" TargetMode="External" Id="rId16" /><Relationship Type="http://schemas.openxmlformats.org/officeDocument/2006/relationships/hyperlink" Target="https://vn.linkedin.com/in/th%C3%A1i-t%C6%B0%E1%BB%9Dng-tr%E1%BA%A7n-3aa884427" TargetMode="External" Id="rId17" /><Relationship Type="http://schemas.openxmlformats.org/officeDocument/2006/relationships/hyperlink" Target="https://vn.linkedin.com/in/th%C3%A1i-t%C6%B0%E1%BB%9Dng-tr%E1%BA%A7n-3aa884427" TargetMode="External" Id="rId18" /><Relationship Type="http://schemas.openxmlformats.org/officeDocument/2006/relationships/hyperlink" Target="https://vn.linkedin.com/in/dinh-thanh-hai-820093188" TargetMode="External" Id="rId19" /><Relationship Type="http://schemas.openxmlformats.org/officeDocument/2006/relationships/hyperlink" Target="https://vn.linkedin.com/in/dinh-thanh-hai-820093188" TargetMode="External" Id="rId20" /><Relationship Type="http://schemas.openxmlformats.org/officeDocument/2006/relationships/hyperlink" Target="https://vn.linkedin.com/in/nguyen-chau-mong-trinh" TargetMode="External" Id="rId21" /><Relationship Type="http://schemas.openxmlformats.org/officeDocument/2006/relationships/hyperlink" Target="https://vn.linkedin.com/in/nguyen-chau-mong-trinh" TargetMode="External" Id="rId22" /><Relationship Type="http://schemas.openxmlformats.org/officeDocument/2006/relationships/hyperlink" Target="https://vn.linkedin.com/in/thuanhoanguyen" TargetMode="External" Id="rId23" /><Relationship Type="http://schemas.openxmlformats.org/officeDocument/2006/relationships/hyperlink" Target="https://vn.linkedin.com/in/thuanhoanguyen" TargetMode="External" Id="rId24" /><Relationship Type="http://schemas.openxmlformats.org/officeDocument/2006/relationships/hyperlink" Target="https://vn.linkedin.com/in/ngo-manh-hung-850a2461" TargetMode="External" Id="rId25" /><Relationship Type="http://schemas.openxmlformats.org/officeDocument/2006/relationships/hyperlink" Target="https://vn.linkedin.com/in/ngo-manh-hung-850a2461" TargetMode="External" Id="rId26" /><Relationship Type="http://schemas.openxmlformats.org/officeDocument/2006/relationships/hyperlink" Target="https://vn.linkedin.com/in/dung-nguyen-thi-my-4a6493234" TargetMode="External" Id="rId27" /><Relationship Type="http://schemas.openxmlformats.org/officeDocument/2006/relationships/hyperlink" Target="https://vn.linkedin.com/in/dung-nguyen-thi-my-4a6493234" TargetMode="External" Id="rId28" /><Relationship Type="http://schemas.openxmlformats.org/officeDocument/2006/relationships/hyperlink" Target="https://vn.linkedin.com/in/dat-tran-30b444136" TargetMode="External" Id="rId29" /><Relationship Type="http://schemas.openxmlformats.org/officeDocument/2006/relationships/hyperlink" Target="https://vn.linkedin.com/in/dat-tran-30b444136" TargetMode="External" Id="rId30" /><Relationship Type="http://schemas.openxmlformats.org/officeDocument/2006/relationships/hyperlink" Target="https://vn.linkedin.com/in/vi%E1%BB%87t-ti%E1%BA%BFn-4b62a23b8" TargetMode="External" Id="rId31" /><Relationship Type="http://schemas.openxmlformats.org/officeDocument/2006/relationships/hyperlink" Target="https://vn.linkedin.com/in/vi%E1%BB%87t-ti%E1%BA%BFn-4b62a23b8" TargetMode="External" Id="rId32" /><Relationship Type="http://schemas.openxmlformats.org/officeDocument/2006/relationships/hyperlink" Target="https://vn.linkedin.com/in/richard-pham-187288188" TargetMode="External" Id="rId33" /><Relationship Type="http://schemas.openxmlformats.org/officeDocument/2006/relationships/hyperlink" Target="https://vn.linkedin.com/in/richard-pham-187288188" TargetMode="External" Id="rId34" /><Relationship Type="http://schemas.openxmlformats.org/officeDocument/2006/relationships/hyperlink" Target="https://vn.linkedin.com/in/thu%E1%BB%B3-dung-26877b16a" TargetMode="External" Id="rId35" /><Relationship Type="http://schemas.openxmlformats.org/officeDocument/2006/relationships/hyperlink" Target="https://vn.linkedin.com/in/thu%E1%BB%B3-dung-26877b16a" TargetMode="External" Id="rId36" /><Relationship Type="http://schemas.openxmlformats.org/officeDocument/2006/relationships/hyperlink" Target="https://vn.linkedin.com/in/hop-dang-68bb35312" TargetMode="External" Id="rId37" /><Relationship Type="http://schemas.openxmlformats.org/officeDocument/2006/relationships/hyperlink" Target="https://vn.linkedin.com/in/hoa-nguyen-881045132" TargetMode="External" Id="rId38" /><Relationship Type="http://schemas.openxmlformats.org/officeDocument/2006/relationships/hyperlink" Target="https://vn.linkedin.com/in/phung-ngoc-trang-3651116" TargetMode="External" Id="rId39" /><Relationship Type="http://schemas.openxmlformats.org/officeDocument/2006/relationships/hyperlink" Target="https://vn.linkedin.com/in/ms-many-b61937376" TargetMode="External" Id="rId40" /><Relationship Type="http://schemas.openxmlformats.org/officeDocument/2006/relationships/hyperlink" Target="https://vn.linkedin.com/in/thinh-le-3b679070" TargetMode="External" Id="rId41" /><Relationship Type="http://schemas.openxmlformats.org/officeDocument/2006/relationships/hyperlink" Target="https://vn.linkedin.com/in/chung-nguyen-9924681b" TargetMode="External" Id="rId42" /><Relationship Type="http://schemas.openxmlformats.org/officeDocument/2006/relationships/hyperlink" Target="https://vn.linkedin.com/in/uyen-nguyen-b9a5801aa" TargetMode="External" Id="rId43" /><Relationship Type="http://schemas.openxmlformats.org/officeDocument/2006/relationships/hyperlink" Target="https://vn.linkedin.com/in/votrandauai" TargetMode="External" Id="rId44" /></Relationships>
</file>

<file path=xl/worksheets/_rels/sheet3.xml.rels><Relationships xmlns="http://schemas.openxmlformats.org/package/2006/relationships"><Relationship Type="http://schemas.openxmlformats.org/officeDocument/2006/relationships/hyperlink" Target="https://vn.linkedin.com/in/chien-nguyen-077211110" TargetMode="External" Id="rId1" /><Relationship Type="http://schemas.openxmlformats.org/officeDocument/2006/relationships/hyperlink" Target="https://vn.linkedin.com/in/linh-nguyenduy" TargetMode="External" Id="rId2" /><Relationship Type="http://schemas.openxmlformats.org/officeDocument/2006/relationships/hyperlink" Target="https://vn.linkedin.com/in/do-huu-phu-670717186" TargetMode="External" Id="rId3" /><Relationship Type="http://schemas.openxmlformats.org/officeDocument/2006/relationships/hyperlink" Target="https://vn.linkedin.com/in/do-trong-b2901716b" TargetMode="External" Id="rId4" /><Relationship Type="http://schemas.openxmlformats.org/officeDocument/2006/relationships/hyperlink" Target="https://vn.linkedin.com/in/nguyen-hong-han-41a00451" TargetMode="External" Id="rId5" /><Relationship Type="http://schemas.openxmlformats.org/officeDocument/2006/relationships/hyperlink" Target="https://vn.linkedin.com/in/l%C3%A2m-ph%E1%BA%A1m-b08a312a5" TargetMode="External" Id="rId6" /><Relationship Type="http://schemas.openxmlformats.org/officeDocument/2006/relationships/hyperlink" Target="https://vn.linkedin.com/in/nghiahuynhminh" TargetMode="External" Id="rId7" /><Relationship Type="http://schemas.openxmlformats.org/officeDocument/2006/relationships/hyperlink" Target="https://vn.linkedin.com/posts/quynhvtn_1610-activity-7398925967253041152-_GMc" TargetMode="External" Id="rId8" /><Relationship Type="http://schemas.openxmlformats.org/officeDocument/2006/relationships/hyperlink" Target="https://vn.linkedin.com/posts/lethiphuonganh104_sharecv-fmcg-gt-activity-7495399105054138368-xYg3" TargetMode="External" Id="rId9" /><Relationship Type="http://schemas.openxmlformats.org/officeDocument/2006/relationships/hyperlink" Target="https://vn.linkedin.com/in/thanh-do-trung-15714335" TargetMode="External" Id="rId10" /><Relationship Type="http://schemas.openxmlformats.org/officeDocument/2006/relationships/hyperlink" Target="https://vn.linkedin.com/in/minh-pham-b43a79115" TargetMode="External" Id="rId11" /><Relationship Type="http://schemas.openxmlformats.org/officeDocument/2006/relationships/hyperlink" Target="https://vn.linkedin.com/in/vo-tan-thanh-9534a8104" TargetMode="External" Id="rId12" /><Relationship Type="http://schemas.openxmlformats.org/officeDocument/2006/relationships/hyperlink" Target="https://vn.linkedin.com/in/kimhoang279" TargetMode="External" Id="rId13" /><Relationship Type="http://schemas.openxmlformats.org/officeDocument/2006/relationships/hyperlink" Target="https://vn.linkedin.com/in/annam-group-career-b56983108" TargetMode="External" Id="rId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13" customWidth="1" min="3" max="3"/>
    <col width="18" customWidth="1" min="4" max="4"/>
    <col width="26" customWidth="1" min="5" max="5"/>
    <col width="26" customWidth="1" min="6" max="6"/>
    <col width="14" customWidth="1" min="7" max="7"/>
    <col width="32" customWidth="1" min="8" max="8"/>
    <col width="11" customWidth="1" min="9" max="9"/>
    <col width="11" customWidth="1" min="10" max="10"/>
    <col width="45" customWidth="1" min="11" max="11"/>
    <col width="30" customWidth="1" min="12" max="12"/>
    <col width="9" customWidth="1" min="13" max="13"/>
    <col width="38" customWidth="1" min="14" max="14"/>
    <col width="40" customWidth="1" min="15" max="15"/>
    <col width="14" customWidth="1" min="16" max="16"/>
    <col width="12" customWidth="1" min="17" max="17"/>
    <col width="14" customWidth="1" min="18" max="18"/>
    <col width="15" customWidth="1" min="19" max="19"/>
    <col width="22" customWidth="1" min="20" max="20"/>
    <col width="30" customWidth="1" min="21" max="21"/>
  </cols>
  <sheetData>
    <row r="1" ht="32" customHeight="1">
      <c r="A1" s="1" t="inlineStr">
        <is>
          <t>STT</t>
        </is>
      </c>
      <c r="B1" s="1" t="inlineStr">
        <is>
          <t>Nhóm</t>
        </is>
      </c>
      <c r="C1" s="1" t="inlineStr">
        <is>
          <t>Mã</t>
        </is>
      </c>
      <c r="D1" s="1" t="inlineStr">
        <is>
          <t>Họ tên</t>
        </is>
      </c>
      <c r="E1" s="1" t="inlineStr">
        <is>
          <t>Chức danh</t>
        </is>
      </c>
      <c r="F1" s="1" t="inlineStr">
        <is>
          <t>Công ty</t>
        </is>
      </c>
      <c r="G1" s="1" t="inlineStr">
        <is>
          <t>Địa điểm</t>
        </is>
      </c>
      <c r="H1" s="1" t="inlineStr">
        <is>
          <t>Kinh nghiệm FMCG/F&amp;B</t>
        </is>
      </c>
      <c r="I1" s="1" t="inlineStr">
        <is>
          <t>Open to Work</t>
        </is>
      </c>
      <c r="J1" s="1" t="inlineStr">
        <is>
          <t>Ngày tín hiệu</t>
        </is>
      </c>
      <c r="K1" s="1" t="inlineStr">
        <is>
          <t>Bằng chứng</t>
        </is>
      </c>
      <c r="L1" s="1" t="inlineStr">
        <is>
          <t>URL bằng chứng</t>
        </is>
      </c>
      <c r="M1" s="1" t="inlineStr">
        <is>
          <t>Điểm phù hợp</t>
        </is>
      </c>
      <c r="N1" s="1" t="inlineStr">
        <is>
          <t>Điểm cần lưu ý</t>
        </is>
      </c>
      <c r="O1" s="1" t="inlineStr">
        <is>
          <t>LinkedIn</t>
        </is>
      </c>
      <c r="P1" s="1" t="inlineStr">
        <is>
          <t>Đã liên hệ?</t>
        </is>
      </c>
      <c r="Q1" s="1" t="inlineStr">
        <is>
          <t>Ngày liên hệ</t>
        </is>
      </c>
      <c r="R1" s="1" t="inlineStr">
        <is>
          <t>Kênh liên hệ</t>
        </is>
      </c>
      <c r="S1" s="1" t="inlineStr">
        <is>
          <t>Phản hồi</t>
        </is>
      </c>
      <c r="T1" s="1" t="inlineStr">
        <is>
          <t>Trạng thái công việc</t>
        </is>
      </c>
      <c r="U1" s="1" t="inlineStr">
        <is>
          <t>Ghi chú của bạn</t>
        </is>
      </c>
    </row>
    <row r="2">
      <c r="A2" s="2" t="n">
        <v>1</v>
      </c>
      <c r="B2" s="2" t="inlineStr">
        <is>
          <t>Chính</t>
        </is>
      </c>
      <c r="C2" s="2" t="inlineStr">
        <is>
          <t>FMCG-008</t>
        </is>
      </c>
      <c r="D2" s="2" t="inlineStr">
        <is>
          <t>Nguyen Minh Hoang</t>
        </is>
      </c>
      <c r="E2" s="2" t="inlineStr">
        <is>
          <t>Commercial &amp; Sales Director; Board Member</t>
        </is>
      </c>
      <c r="F2" s="2" t="inlineStr">
        <is>
          <t>Hochiminh Food &amp; Beverage Associates</t>
        </is>
      </c>
      <c r="G2" s="2" t="inlineStr">
        <is>
          <t>Ho Chi Minh City</t>
        </is>
      </c>
      <c r="H2" s="2" t="inlineStr">
        <is>
          <t>F&amp;B, commercial/sales director level</t>
        </is>
      </c>
      <c r="I2" s="2" t="inlineStr">
        <is>
          <t>confirmed</t>
        </is>
      </c>
      <c r="J2" s="2" t="inlineStr">
        <is>
          <t>không rõ</t>
        </is>
      </c>
      <c r="K2" s="2" t="inlineStr">
        <is>
          <t>Profile: "Currently looking for a senior operating role (CEO / CMO / Commercial Director / Sales Director)..."</t>
        </is>
      </c>
      <c r="L2" s="3" t="inlineStr">
        <is>
          <t>https://vn.linkedin.com/in/nguyen-minh-hoang-a776a9334</t>
        </is>
      </c>
      <c r="M2" s="2" t="n">
        <v>80</v>
      </c>
      <c r="N2" s="2" t="inlineStr">
        <is>
          <t>Senior level: may expect above a Department Head salary</t>
        </is>
      </c>
      <c r="O2" s="3" t="inlineStr">
        <is>
          <t>https://vn.linkedin.com/in/nguyen-minh-hoang-a776a9334</t>
        </is>
      </c>
      <c r="P2" s="4" t="inlineStr">
        <is>
          <t>Chưa liên hệ</t>
        </is>
      </c>
      <c r="Q2" s="5" t="n"/>
      <c r="R2" s="4" t="n"/>
      <c r="S2" s="4" t="inlineStr">
        <is>
          <t>Chưa phản hồi</t>
        </is>
      </c>
      <c r="T2" s="4" t="inlineStr">
        <is>
          <t>Chưa xác minh</t>
        </is>
      </c>
      <c r="U2" s="4" t="n"/>
    </row>
    <row r="3">
      <c r="A3" s="2" t="n">
        <v>2</v>
      </c>
      <c r="B3" s="2" t="inlineStr">
        <is>
          <t>Chính</t>
        </is>
      </c>
      <c r="C3" s="2" t="inlineStr">
        <is>
          <t>FMCG-011</t>
        </is>
      </c>
      <c r="D3" s="2" t="inlineStr">
        <is>
          <t>Justin Nguyen</t>
        </is>
      </c>
      <c r="E3" s="2" t="inlineStr">
        <is>
          <t>Sales Manager – Southern Region (since 03/2021)</t>
        </is>
      </c>
      <c r="F3" s="2" t="inlineStr">
        <is>
          <t>PRAN-RFL Group (food &amp; beverage)</t>
        </is>
      </c>
      <c r="G3" s="2" t="inlineStr">
        <is>
          <t>Southern Region (likely HCM)</t>
        </is>
      </c>
      <c r="H3" s="2" t="inlineStr">
        <is>
          <t>15+ years in sales and market development, recruiting and coaching the team, managing promotion programs</t>
        </is>
      </c>
      <c r="I3" s="2" t="inlineStr">
        <is>
          <t>confirmed</t>
        </is>
      </c>
      <c r="J3" s="2" t="inlineStr">
        <is>
          <t>không rõ</t>
        </is>
      </c>
      <c r="K3" s="2" t="inlineStr">
        <is>
          <t>Profile headline: "Looking for new opportunity"</t>
        </is>
      </c>
      <c r="L3" s="3" t="inlineStr">
        <is>
          <t>https://vn.linkedin.com/in/justin-nguyen-03421092</t>
        </is>
      </c>
      <c r="M3" s="2" t="n">
        <v>80</v>
      </c>
      <c r="N3" s="2" t="inlineStr">
        <is>
          <t>Exact location (HCM) not confirmed</t>
        </is>
      </c>
      <c r="O3" s="3" t="inlineStr">
        <is>
          <t>https://vn.linkedin.com/in/justin-nguyen-03421092</t>
        </is>
      </c>
      <c r="P3" s="4" t="inlineStr">
        <is>
          <t>Chưa liên hệ</t>
        </is>
      </c>
      <c r="Q3" s="5" t="n"/>
      <c r="R3" s="4" t="n"/>
      <c r="S3" s="4" t="inlineStr">
        <is>
          <t>Chưa phản hồi</t>
        </is>
      </c>
      <c r="T3" s="4" t="inlineStr">
        <is>
          <t>Chưa xác minh</t>
        </is>
      </c>
      <c r="U3" s="4" t="n"/>
    </row>
    <row r="4">
      <c r="A4" s="2" t="n">
        <v>3</v>
      </c>
      <c r="B4" s="2" t="inlineStr">
        <is>
          <t>Chính</t>
        </is>
      </c>
      <c r="C4" s="2" t="inlineStr">
        <is>
          <t>FMCG-010</t>
        </is>
      </c>
      <c r="D4" s="2" t="inlineStr">
        <is>
          <t>nhat nguyen the duc</t>
        </is>
      </c>
      <c r="E4" s="2" t="inlineStr">
        <is>
          <t>Head of Sales (since 09/2023); CCO at Delice Food; previously Sales Director</t>
        </is>
      </c>
      <c r="F4" s="2" t="inlineStr">
        <is>
          <t>FMCG Company / Delice Food</t>
        </is>
      </c>
      <c r="G4" s="2" t="inlineStr">
        <is>
          <t>Not verified</t>
        </is>
      </c>
      <c r="H4" s="2" t="inlineStr">
        <is>
          <t>FMCG/food, Head of Sales, CCO, Sales Director</t>
        </is>
      </c>
      <c r="I4" s="2" t="inlineStr">
        <is>
          <t>confirmed</t>
        </is>
      </c>
      <c r="J4" s="2" t="inlineStr">
        <is>
          <t>không rõ</t>
        </is>
      </c>
      <c r="K4" s="2" t="inlineStr">
        <is>
          <t>Profile headline: "Open to work"</t>
        </is>
      </c>
      <c r="L4" s="3" t="inlineStr">
        <is>
          <t>https://vn.linkedin.com/in/nhat-nguyen-the-duc-47664986</t>
        </is>
      </c>
      <c r="M4" s="2" t="n">
        <v>75</v>
      </c>
      <c r="N4" s="2" t="inlineStr">
        <is>
          <t>Location not verified; Senior level</t>
        </is>
      </c>
      <c r="O4" s="3" t="inlineStr">
        <is>
          <t>https://vn.linkedin.com/in/nhat-nguyen-the-duc-47664986</t>
        </is>
      </c>
      <c r="P4" s="4" t="inlineStr">
        <is>
          <t>Chưa liên hệ</t>
        </is>
      </c>
      <c r="Q4" s="5" t="n"/>
      <c r="R4" s="4" t="n"/>
      <c r="S4" s="4" t="inlineStr">
        <is>
          <t>Chưa phản hồi</t>
        </is>
      </c>
      <c r="T4" s="4" t="inlineStr">
        <is>
          <t>Chưa xác minh</t>
        </is>
      </c>
      <c r="U4" s="4" t="n"/>
    </row>
    <row r="5">
      <c r="A5" s="2" t="n">
        <v>4</v>
      </c>
      <c r="B5" s="2" t="inlineStr">
        <is>
          <t>Chính</t>
        </is>
      </c>
      <c r="C5" s="2" t="inlineStr">
        <is>
          <t>FMCG-002</t>
        </is>
      </c>
      <c r="D5" s="2" t="inlineStr">
        <is>
          <t>Khiem Quach</t>
        </is>
      </c>
      <c r="E5" s="2" t="inlineStr">
        <is>
          <t>Sales Manager (since 2017), seeking Head Sales Manager</t>
        </is>
      </c>
      <c r="F5" s="2" t="inlineStr">
        <is>
          <t>International Cosmetic Company (ICC); previously International Dairy</t>
        </is>
      </c>
      <c r="G5" s="2" t="inlineStr">
        <is>
          <t>Likely HCM (Regional Sales Manager at Nestlé, HCM East, 2014–2016)</t>
        </is>
      </c>
      <c r="H5" s="2" t="inlineStr">
        <is>
          <t>FMCG (cosmetics, dairy), Sales Manager for 9+ years; previously RSM at Nestlé HCM (East)</t>
        </is>
      </c>
      <c r="I5" s="2" t="inlineStr">
        <is>
          <t>confirmed</t>
        </is>
      </c>
      <c r="J5" s="2" t="inlineStr">
        <is>
          <t>không rõ</t>
        </is>
      </c>
      <c r="K5" s="2" t="inlineStr">
        <is>
          <t>Profile headline: "Looking for Head Sales Manager"</t>
        </is>
      </c>
      <c r="L5" s="3" t="inlineStr">
        <is>
          <t>https://vn.linkedin.com/in/khiem-quach-55a42927</t>
        </is>
      </c>
      <c r="M5" s="2" t="n">
        <v>72</v>
      </c>
      <c r="N5" s="2" t="inlineStr">
        <is>
          <t>Current location not confirmed (previously worked in HCM); Headline date unknown</t>
        </is>
      </c>
      <c r="O5" s="3" t="inlineStr">
        <is>
          <t>https://vn.linkedin.com/in/khiem-quach-55a42927</t>
        </is>
      </c>
      <c r="P5" s="4" t="inlineStr">
        <is>
          <t>Chưa liên hệ</t>
        </is>
      </c>
      <c r="Q5" s="5" t="n"/>
      <c r="R5" s="4" t="n"/>
      <c r="S5" s="4" t="inlineStr">
        <is>
          <t>Chưa phản hồi</t>
        </is>
      </c>
      <c r="T5" s="4" t="inlineStr">
        <is>
          <t>Chưa xác minh</t>
        </is>
      </c>
      <c r="U5" s="4" t="n"/>
    </row>
    <row r="6">
      <c r="A6" s="2" t="n">
        <v>5</v>
      </c>
      <c r="B6" s="2" t="inlineStr">
        <is>
          <t>Chính</t>
        </is>
      </c>
      <c r="C6" s="2" t="inlineStr">
        <is>
          <t>FMCG-009</t>
        </is>
      </c>
      <c r="D6" s="2" t="inlineStr">
        <is>
          <t>Nguyễn Phi Vũ</t>
        </is>
      </c>
      <c r="E6" s="2" t="inlineStr">
        <is>
          <t>On Premise Senior Executive</t>
        </is>
      </c>
      <c r="F6" s="2" t="inlineStr">
        <is>
          <t>Suntory PepsiCo Vietnam Beverage</t>
        </is>
      </c>
      <c r="G6" s="2" t="inlineStr">
        <is>
          <t>Ho Chi Minh City</t>
        </is>
      </c>
      <c r="H6" s="2" t="inlineStr">
        <is>
          <t>8+ years in sales, FMCG beverages, Horeca/On-premise channel</t>
        </is>
      </c>
      <c r="I6" s="2" t="inlineStr">
        <is>
          <t>confirmed</t>
        </is>
      </c>
      <c r="J6" s="2" t="inlineStr">
        <is>
          <t>không rõ</t>
        </is>
      </c>
      <c r="K6" s="2" t="inlineStr">
        <is>
          <t>Profile headline: "Looking for sales manager position (B2B/ Horeca/ FMCG/ or High Technology products for Horeca)"</t>
        </is>
      </c>
      <c r="L6" s="3" t="inlineStr">
        <is>
          <t>https://vn.linkedin.com/in/nguy%E1%BB%85n-phi-v%C5%A9</t>
        </is>
      </c>
      <c r="M6" s="2" t="n">
        <v>72</v>
      </c>
      <c r="N6" s="2" t="inlineStr">
        <is>
          <t>Currently Senior Executive: first step up to Manager; Team management not verified</t>
        </is>
      </c>
      <c r="O6" s="3" t="inlineStr">
        <is>
          <t>https://vn.linkedin.com/in/nguy%E1%BB%85n-phi-v%C5%A9</t>
        </is>
      </c>
      <c r="P6" s="4" t="inlineStr">
        <is>
          <t>Chưa liên hệ</t>
        </is>
      </c>
      <c r="Q6" s="5" t="n"/>
      <c r="R6" s="4" t="n"/>
      <c r="S6" s="4" t="inlineStr">
        <is>
          <t>Chưa phản hồi</t>
        </is>
      </c>
      <c r="T6" s="4" t="inlineStr">
        <is>
          <t>Chưa xác minh</t>
        </is>
      </c>
      <c r="U6" s="4" t="n"/>
    </row>
    <row r="7">
      <c r="A7" s="2" t="n">
        <v>6</v>
      </c>
      <c r="B7" s="2" t="inlineStr">
        <is>
          <t>Chính</t>
        </is>
      </c>
      <c r="C7" s="2" t="inlineStr">
        <is>
          <t>FMCG-012</t>
        </is>
      </c>
      <c r="D7" s="2" t="inlineStr">
        <is>
          <t>Nhan Vo</t>
        </is>
      </c>
      <c r="E7" s="2" t="inlineStr">
        <is>
          <t>Seeking a Sales Director role</t>
        </is>
      </c>
      <c r="F7" s="2" t="inlineStr">
        <is>
          <t>Suntory PepsiCo Vietnam Beverage</t>
        </is>
      </c>
      <c r="G7" s="2" t="inlineStr">
        <is>
          <t>Not verified</t>
        </is>
      </c>
      <c r="H7" s="2" t="inlineStr">
        <is>
          <t>FMCG beverages (Suntory PepsiCo)</t>
        </is>
      </c>
      <c r="I7" s="2" t="inlineStr">
        <is>
          <t>confirmed</t>
        </is>
      </c>
      <c r="J7" s="2" t="inlineStr">
        <is>
          <t>không rõ</t>
        </is>
      </c>
      <c r="K7" s="2" t="inlineStr">
        <is>
          <t>Profile headline: "Looking for Sales Director position"</t>
        </is>
      </c>
      <c r="L7" s="3" t="inlineStr">
        <is>
          <t>https://vn.linkedin.com/in/nhan-vo-86087ab1</t>
        </is>
      </c>
      <c r="M7" s="2" t="n">
        <v>68</v>
      </c>
      <c r="N7" s="2" t="inlineStr">
        <is>
          <t>Current title and location not verified</t>
        </is>
      </c>
      <c r="O7" s="3" t="inlineStr">
        <is>
          <t>https://vn.linkedin.com/in/nhan-vo-86087ab1</t>
        </is>
      </c>
      <c r="P7" s="4" t="inlineStr">
        <is>
          <t>Chưa liên hệ</t>
        </is>
      </c>
      <c r="Q7" s="5" t="n"/>
      <c r="R7" s="4" t="n"/>
      <c r="S7" s="4" t="inlineStr">
        <is>
          <t>Chưa phản hồi</t>
        </is>
      </c>
      <c r="T7" s="4" t="inlineStr">
        <is>
          <t>Chưa xác minh</t>
        </is>
      </c>
      <c r="U7" s="4" t="n"/>
    </row>
    <row r="8">
      <c r="A8" s="2" t="n">
        <v>7</v>
      </c>
      <c r="B8" s="2" t="inlineStr">
        <is>
          <t>Chính</t>
        </is>
      </c>
      <c r="C8" s="2" t="inlineStr">
        <is>
          <t>FMCG-001</t>
        </is>
      </c>
      <c r="D8" s="2" t="inlineStr">
        <is>
          <t>Ben Nguyen</t>
        </is>
      </c>
      <c r="E8" s="2" t="inlineStr">
        <is>
          <t>HORECA Sales Manager (01/2021–06/2023)</t>
        </is>
      </c>
      <c r="F8" s="2" t="inlineStr">
        <is>
          <t>Saigon Baigur (beer)</t>
        </is>
      </c>
      <c r="G8" s="2" t="inlineStr">
        <is>
          <t>Not verified (worked at a Saigon brand)</t>
        </is>
      </c>
      <c r="H8" s="2" t="inlineStr">
        <is>
          <t>F&amp;B/beverage, HORECA channel; leader experience in sales and distributor coaching</t>
        </is>
      </c>
      <c r="I8" s="2" t="inlineStr">
        <is>
          <t>confirmed</t>
        </is>
      </c>
      <c r="J8" s="2" t="inlineStr">
        <is>
          <t>không rõ</t>
        </is>
      </c>
      <c r="K8" s="2" t="inlineStr">
        <is>
          <t>Profile headline: "Looking for a new job"</t>
        </is>
      </c>
      <c r="L8" s="3" t="inlineStr">
        <is>
          <t>https://vn.linkedin.com/in/ben-nguyen-2585b393</t>
        </is>
      </c>
      <c r="M8" s="2" t="n">
        <v>65</v>
      </c>
      <c r="N8" s="2" t="inlineStr">
        <is>
          <t>Current location not verified as HCM; Headline date unknown; Team size not stated</t>
        </is>
      </c>
      <c r="O8" s="3" t="inlineStr">
        <is>
          <t>https://vn.linkedin.com/in/ben-nguyen-2585b393</t>
        </is>
      </c>
      <c r="P8" s="4" t="inlineStr">
        <is>
          <t>Chưa liên hệ</t>
        </is>
      </c>
      <c r="Q8" s="5" t="n"/>
      <c r="R8" s="4" t="n"/>
      <c r="S8" s="4" t="inlineStr">
        <is>
          <t>Chưa phản hồi</t>
        </is>
      </c>
      <c r="T8" s="4" t="inlineStr">
        <is>
          <t>Chưa xác minh</t>
        </is>
      </c>
      <c r="U8" s="4" t="n"/>
    </row>
    <row r="9">
      <c r="A9" s="2" t="n">
        <v>8</v>
      </c>
      <c r="B9" s="2" t="inlineStr">
        <is>
          <t>Chính</t>
        </is>
      </c>
      <c r="C9" s="2" t="inlineStr">
        <is>
          <t>FMCG-017</t>
        </is>
      </c>
      <c r="D9" s="2" t="inlineStr">
        <is>
          <t>Phan Xuan Thuong</t>
        </is>
      </c>
      <c r="E9" s="2" t="inlineStr">
        <is>
          <t>Regional Sales Manager | MBA</t>
        </is>
      </c>
      <c r="F9" s="2" t="inlineStr">
        <is>
          <t>Reckitt</t>
        </is>
      </c>
      <c r="G9" s="2" t="inlineStr">
        <is>
          <t>Ho Chi Minh City Metropolitan Area</t>
        </is>
      </c>
      <c r="H9" s="2" t="inlineStr">
        <is>
          <t>FMCG (Reckitt), RSM</t>
        </is>
      </c>
      <c r="I9" s="2" t="inlineStr">
        <is>
          <t>probable</t>
        </is>
      </c>
      <c r="J9" s="2" t="inlineStr">
        <is>
          <t>không rõ</t>
        </is>
      </c>
      <c r="K9" s="2" t="inlineStr">
        <is>
          <t>Profile summary: "I am looking for a challenging job in Sales..." (may be an old summary)</t>
        </is>
      </c>
      <c r="L9" s="3" t="inlineStr">
        <is>
          <t>https://vn.linkedin.com/in/phanxuanthuong</t>
        </is>
      </c>
      <c r="M9" s="2" t="n">
        <v>65</v>
      </c>
      <c r="N9" s="2" t="inlineStr">
        <is>
          <t>Signal may be an old summary line, need to confirm</t>
        </is>
      </c>
      <c r="O9" s="3" t="inlineStr">
        <is>
          <t>https://vn.linkedin.com/in/phanxuanthuong</t>
        </is>
      </c>
      <c r="P9" s="4" t="inlineStr">
        <is>
          <t>Chưa liên hệ</t>
        </is>
      </c>
      <c r="Q9" s="5" t="n"/>
      <c r="R9" s="4" t="n"/>
      <c r="S9" s="4" t="inlineStr">
        <is>
          <t>Chưa phản hồi</t>
        </is>
      </c>
      <c r="T9" s="4" t="inlineStr">
        <is>
          <t>Chưa xác minh</t>
        </is>
      </c>
      <c r="U9" s="4" t="n"/>
    </row>
    <row r="10">
      <c r="A10" s="2" t="n">
        <v>9</v>
      </c>
      <c r="B10" s="2" t="inlineStr">
        <is>
          <t>Chính</t>
        </is>
      </c>
      <c r="C10" s="2" t="inlineStr">
        <is>
          <t>FMCG-013</t>
        </is>
      </c>
      <c r="D10" s="2" t="inlineStr">
        <is>
          <t>Thái Tường Trần</t>
        </is>
      </c>
      <c r="E10" s="2" t="inlineStr">
        <is>
          <t>Previously Regional Sales Manager, Retail Account Manager</t>
        </is>
      </c>
      <c r="F10" s="2" t="inlineStr">
        <is>
          <t>(supplementary food, ICT...)</t>
        </is>
      </c>
      <c r="G10" s="2" t="inlineStr">
        <is>
          <t>Not verified</t>
        </is>
      </c>
      <c r="H10" s="2" t="inlineStr">
        <is>
          <t>RSM, retail account, new channel development for supplementary food</t>
        </is>
      </c>
      <c r="I10" s="2" t="inlineStr">
        <is>
          <t>confirmed</t>
        </is>
      </c>
      <c r="J10" s="2" t="inlineStr">
        <is>
          <t>không rõ</t>
        </is>
      </c>
      <c r="K10" s="2" t="inlineStr">
        <is>
          <t>Profile headline: "looking for new opportunity in Sales Manager, RSM"</t>
        </is>
      </c>
      <c r="L10" s="3" t="inlineStr">
        <is>
          <t>https://vn.linkedin.com/in/th%C3%A1i-t%C6%B0%E1%BB%9Dng-tr%E1%BA%A7n-3aa884427</t>
        </is>
      </c>
      <c r="M10" s="2" t="n">
        <v>62</v>
      </c>
      <c r="N10" s="2" t="inlineStr">
        <is>
          <t>Location not verified; Mixed industry experience (supplementary food, ICT)</t>
        </is>
      </c>
      <c r="O10" s="3" t="inlineStr">
        <is>
          <t>https://vn.linkedin.com/in/th%C3%A1i-t%C6%B0%E1%BB%9Dng-tr%E1%BA%A7n-3aa884427</t>
        </is>
      </c>
      <c r="P10" s="4" t="inlineStr">
        <is>
          <t>Chưa liên hệ</t>
        </is>
      </c>
      <c r="Q10" s="5" t="n"/>
      <c r="R10" s="4" t="n"/>
      <c r="S10" s="4" t="inlineStr">
        <is>
          <t>Chưa phản hồi</t>
        </is>
      </c>
      <c r="T10" s="4" t="inlineStr">
        <is>
          <t>Chưa xác minh</t>
        </is>
      </c>
      <c r="U10" s="4" t="n"/>
    </row>
    <row r="11">
      <c r="A11" s="2" t="n">
        <v>10</v>
      </c>
      <c r="B11" s="2" t="inlineStr">
        <is>
          <t>Chính</t>
        </is>
      </c>
      <c r="C11" s="2" t="inlineStr">
        <is>
          <t>FMCG-014</t>
        </is>
      </c>
      <c r="D11" s="2" t="inlineStr">
        <is>
          <t>Dinh Thanh Hai</t>
        </is>
      </c>
      <c r="E11" s="2" t="inlineStr">
        <is>
          <t>ASM</t>
        </is>
      </c>
      <c r="F11" s="2" t="inlineStr">
        <is>
          <t>Nestlé</t>
        </is>
      </c>
      <c r="G11" s="2" t="inlineStr">
        <is>
          <t>Not verified</t>
        </is>
      </c>
      <c r="H11" s="2" t="inlineStr">
        <is>
          <t>10+ years FMCG, ASM at Nestlé</t>
        </is>
      </c>
      <c r="I11" s="2" t="inlineStr">
        <is>
          <t>probable</t>
        </is>
      </c>
      <c r="J11" s="2" t="inlineStr">
        <is>
          <t>không rõ</t>
        </is>
      </c>
      <c r="K11" s="2" t="inlineStr">
        <is>
          <t>Profile summary: "...10 years of experience in FMCG... willing to join a new environment"</t>
        </is>
      </c>
      <c r="L11" s="3" t="inlineStr">
        <is>
          <t>https://vn.linkedin.com/in/dinh-thanh-hai-820093188</t>
        </is>
      </c>
      <c r="M11" s="2" t="n">
        <v>62</v>
      </c>
      <c r="N11" s="2" t="inlineStr">
        <is>
          <t>Not an explicit Open to Work; Location not verified</t>
        </is>
      </c>
      <c r="O11" s="3" t="inlineStr">
        <is>
          <t>https://vn.linkedin.com/in/dinh-thanh-hai-820093188</t>
        </is>
      </c>
      <c r="P11" s="4" t="inlineStr">
        <is>
          <t>Chưa liên hệ</t>
        </is>
      </c>
      <c r="Q11" s="5" t="n"/>
      <c r="R11" s="4" t="n"/>
      <c r="S11" s="4" t="inlineStr">
        <is>
          <t>Chưa phản hồi</t>
        </is>
      </c>
      <c r="T11" s="4" t="inlineStr">
        <is>
          <t>Chưa xác minh</t>
        </is>
      </c>
      <c r="U11" s="4" t="n"/>
    </row>
    <row r="12">
      <c r="A12" s="2" t="n">
        <v>11</v>
      </c>
      <c r="B12" s="2" t="inlineStr">
        <is>
          <t>Chính</t>
        </is>
      </c>
      <c r="C12" s="2" t="inlineStr">
        <is>
          <t>FMCG-015</t>
        </is>
      </c>
      <c r="D12" s="2" t="inlineStr">
        <is>
          <t>Trinh Nguyen (Tawan)</t>
        </is>
      </c>
      <c r="E12" s="2" t="inlineStr">
        <is>
          <t>Senior Key Account Manager</t>
        </is>
      </c>
      <c r="F12" s="2" t="inlineStr">
        <is>
          <t>SABECO</t>
        </is>
      </c>
      <c r="G12" s="2" t="inlineStr">
        <is>
          <t>Ho Chi Minh City</t>
        </is>
      </c>
      <c r="H12" s="2" t="inlineStr">
        <is>
          <t>Beer/beverage FMCG, Modern Trade key accounts</t>
        </is>
      </c>
      <c r="I12" s="2" t="inlineStr">
        <is>
          <t>probable</t>
        </is>
      </c>
      <c r="J12" s="2" t="inlineStr">
        <is>
          <t>không rõ</t>
        </is>
      </c>
      <c r="K12" s="2" t="inlineStr">
        <is>
          <t>Profile headline lists target roles: "...Sales Manager | Commercial Manager | Modern Trade Manager | Regional/International Key Account roles"</t>
        </is>
      </c>
      <c r="L12" s="3" t="inlineStr">
        <is>
          <t>https://vn.linkedin.com/in/nguyen-chau-mong-trinh</t>
        </is>
      </c>
      <c r="M12" s="2" t="n">
        <v>62</v>
      </c>
      <c r="N12" s="2" t="inlineStr">
        <is>
          <t>Headline lists target roles but the snippet is cut off, need to confirm OTW</t>
        </is>
      </c>
      <c r="O12" s="3" t="inlineStr">
        <is>
          <t>https://vn.linkedin.com/in/nguyen-chau-mong-trinh</t>
        </is>
      </c>
      <c r="P12" s="4" t="inlineStr">
        <is>
          <t>Chưa liên hệ</t>
        </is>
      </c>
      <c r="Q12" s="5" t="n"/>
      <c r="R12" s="4" t="n"/>
      <c r="S12" s="4" t="inlineStr">
        <is>
          <t>Chưa phản hồi</t>
        </is>
      </c>
      <c r="T12" s="4" t="inlineStr">
        <is>
          <t>Chưa xác minh</t>
        </is>
      </c>
      <c r="U12" s="4" t="n"/>
    </row>
    <row r="13">
      <c r="A13" s="2" t="n">
        <v>12</v>
      </c>
      <c r="B13" s="2" t="inlineStr">
        <is>
          <t>Chính</t>
        </is>
      </c>
      <c r="C13" s="2" t="inlineStr">
        <is>
          <t>FMCG-003</t>
        </is>
      </c>
      <c r="D13" s="2" t="inlineStr">
        <is>
          <t>Thuan Hoa Nguyen</t>
        </is>
      </c>
      <c r="E13" s="2" t="inlineStr">
        <is>
          <t>Freelance Trainer / E-commerce Advisor; previously Senior Key Account Manager, Lazada (2019–2023)</t>
        </is>
      </c>
      <c r="F13" s="2" t="inlineStr">
        <is>
          <t>Into The Tech (ITT)</t>
        </is>
      </c>
      <c r="G13" s="2" t="inlineStr">
        <is>
          <t>Ho Chi Minh City</t>
        </is>
      </c>
      <c r="H13" s="2" t="inlineStr">
        <is>
          <t>10+ years B2B/B2B2C, loyalty and e-commerce, worked with FMCG clients; not a direct FMCG sales manager</t>
        </is>
      </c>
      <c r="I13" s="2" t="inlineStr">
        <is>
          <t>confirmed</t>
        </is>
      </c>
      <c r="J13" s="2" t="inlineStr">
        <is>
          <t>không rõ</t>
        </is>
      </c>
      <c r="K13" s="2" t="inlineStr">
        <is>
          <t>Profile headline: "Open to full-time leadership roles..."</t>
        </is>
      </c>
      <c r="L13" s="3" t="inlineStr">
        <is>
          <t>https://vn.linkedin.com/in/thuanhoanguyen</t>
        </is>
      </c>
      <c r="M13" s="2" t="n">
        <v>60</v>
      </c>
      <c r="N13" s="2" t="inlineStr">
        <is>
          <t>Mainly e-commerce/KAM, not traditional FMCG GT/MT sales management</t>
        </is>
      </c>
      <c r="O13" s="3" t="inlineStr">
        <is>
          <t>https://vn.linkedin.com/in/thuanhoanguyen</t>
        </is>
      </c>
      <c r="P13" s="4" t="inlineStr">
        <is>
          <t>Chưa liên hệ</t>
        </is>
      </c>
      <c r="Q13" s="5" t="n"/>
      <c r="R13" s="4" t="n"/>
      <c r="S13" s="4" t="inlineStr">
        <is>
          <t>Chưa phản hồi</t>
        </is>
      </c>
      <c r="T13" s="4" t="inlineStr">
        <is>
          <t>Chưa xác minh</t>
        </is>
      </c>
      <c r="U13" s="4" t="n"/>
    </row>
    <row r="14">
      <c r="A14" s="2" t="n">
        <v>13</v>
      </c>
      <c r="B14" s="2" t="inlineStr">
        <is>
          <t>Chính</t>
        </is>
      </c>
      <c r="C14" s="2" t="inlineStr">
        <is>
          <t>FMCG-018</t>
        </is>
      </c>
      <c r="D14" s="2" t="inlineStr">
        <is>
          <t>Ngo Manh Hung</t>
        </is>
      </c>
      <c r="E14" s="2" t="inlineStr">
        <is>
          <t>Go to Market Specialist FMCG; previously Southern Sales Manager (automotive)</t>
        </is>
      </c>
      <c r="F14" s="2" t="inlineStr">
        <is>
          <t>(tobacco, 19 years)</t>
        </is>
      </c>
      <c r="G14" s="2" t="inlineStr">
        <is>
          <t>Not verified</t>
        </is>
      </c>
      <c r="H14" s="2" t="inlineStr">
        <is>
          <t>19 years in tobacco (FMCG) + 3 years Southern Sales Manager</t>
        </is>
      </c>
      <c r="I14" s="2" t="inlineStr">
        <is>
          <t>probable</t>
        </is>
      </c>
      <c r="J14" s="2" t="inlineStr">
        <is>
          <t>không rõ</t>
        </is>
      </c>
      <c r="K14" s="2" t="inlineStr">
        <is>
          <t>Profile shows "Available for new opportunity" (in the experience section)</t>
        </is>
      </c>
      <c r="L14" s="3" t="inlineStr">
        <is>
          <t>https://vn.linkedin.com/in/ngo-manh-hung-850a2461</t>
        </is>
      </c>
      <c r="M14" s="2" t="n">
        <v>55</v>
      </c>
      <c r="N14" s="2" t="inlineStr">
        <is>
          <t>Unclear wording, date unknown; Location not verified</t>
        </is>
      </c>
      <c r="O14" s="3" t="inlineStr">
        <is>
          <t>https://vn.linkedin.com/in/ngo-manh-hung-850a2461</t>
        </is>
      </c>
      <c r="P14" s="4" t="inlineStr">
        <is>
          <t>Chưa liên hệ</t>
        </is>
      </c>
      <c r="Q14" s="5" t="n"/>
      <c r="R14" s="4" t="n"/>
      <c r="S14" s="4" t="inlineStr">
        <is>
          <t>Chưa phản hồi</t>
        </is>
      </c>
      <c r="T14" s="4" t="inlineStr">
        <is>
          <t>Chưa xác minh</t>
        </is>
      </c>
      <c r="U14" s="4" t="n"/>
    </row>
    <row r="15">
      <c r="A15" s="2" t="n">
        <v>14</v>
      </c>
      <c r="B15" s="2" t="inlineStr">
        <is>
          <t>Chính</t>
        </is>
      </c>
      <c r="C15" s="2" t="inlineStr">
        <is>
          <t>FMCG-016</t>
        </is>
      </c>
      <c r="D15" s="2" t="inlineStr">
        <is>
          <t>DUNG NGUYEN THI MY</t>
        </is>
      </c>
      <c r="E15" s="2" t="inlineStr">
        <is>
          <t>Key Account Manager</t>
        </is>
      </c>
      <c r="F15" s="2" t="inlineStr">
        <is>
          <t>(FMCG – Modern Trade)</t>
        </is>
      </c>
      <c r="G15" s="2" t="inlineStr">
        <is>
          <t>Not verified</t>
        </is>
      </c>
      <c r="H15" s="2" t="inlineStr">
        <is>
          <t>KAM FMCG, Modern Trade channel, led strategic accounts</t>
        </is>
      </c>
      <c r="I15" s="2" t="inlineStr">
        <is>
          <t>probable</t>
        </is>
      </c>
      <c r="J15" s="2" t="inlineStr">
        <is>
          <t>không rõ</t>
        </is>
      </c>
      <c r="K15" s="2" t="inlineStr">
        <is>
          <t>Profile summary: "...I'm looking for a company where I can further..."</t>
        </is>
      </c>
      <c r="L15" s="3" t="inlineStr">
        <is>
          <t>https://vn.linkedin.com/in/dung-nguyen-thi-my-4a6493234</t>
        </is>
      </c>
      <c r="M15" s="2" t="n">
        <v>52</v>
      </c>
      <c r="N15" s="2" t="inlineStr">
        <is>
          <t>Signal is only a summary phrase; Location not verified</t>
        </is>
      </c>
      <c r="O15" s="3" t="inlineStr">
        <is>
          <t>https://vn.linkedin.com/in/dung-nguyen-thi-my-4a6493234</t>
        </is>
      </c>
      <c r="P15" s="4" t="inlineStr">
        <is>
          <t>Chưa liên hệ</t>
        </is>
      </c>
      <c r="Q15" s="5" t="n"/>
      <c r="R15" s="4" t="n"/>
      <c r="S15" s="4" t="inlineStr">
        <is>
          <t>Chưa phản hồi</t>
        </is>
      </c>
      <c r="T15" s="4" t="inlineStr">
        <is>
          <t>Chưa xác minh</t>
        </is>
      </c>
      <c r="U15" s="4" t="n"/>
    </row>
    <row r="16">
      <c r="A16" s="2" t="n">
        <v>15</v>
      </c>
      <c r="B16" s="2" t="inlineStr">
        <is>
          <t>Chính</t>
        </is>
      </c>
      <c r="C16" s="2" t="inlineStr">
        <is>
          <t>FMCG-005</t>
        </is>
      </c>
      <c r="D16" s="2" t="inlineStr">
        <is>
          <t>Dat Tran</t>
        </is>
      </c>
      <c r="E16" s="2" t="inlineStr">
        <is>
          <t>Seeking a Sales Manager role</t>
        </is>
      </c>
      <c r="F16" s="2" t="inlineStr">
        <is>
          <t>(pharmaceuticals)</t>
        </is>
      </c>
      <c r="G16" s="2" t="inlineStr">
        <is>
          <t>Not verified</t>
        </is>
      </c>
      <c r="H16" s="2" t="inlineStr">
        <is>
          <t>15 years of management in pharmaceuticals (ETC &amp; OTC), built sales teams; OTC is close to FMCG</t>
        </is>
      </c>
      <c r="I16" s="2" t="inlineStr">
        <is>
          <t>confirmed</t>
        </is>
      </c>
      <c r="J16" s="2" t="inlineStr">
        <is>
          <t>không rõ</t>
        </is>
      </c>
      <c r="K16" s="2" t="inlineStr">
        <is>
          <t>Profile headline: "Looking for new role as a Sales Manager"</t>
        </is>
      </c>
      <c r="L16" s="3" t="inlineStr">
        <is>
          <t>https://vn.linkedin.com/in/dat-tran-30b444136</t>
        </is>
      </c>
      <c r="M16" s="2" t="n">
        <v>50</v>
      </c>
      <c r="N16" s="2" t="inlineStr">
        <is>
          <t>Pharmaceuticals, not FMCG/F&amp;B; Location not verified</t>
        </is>
      </c>
      <c r="O16" s="3" t="inlineStr">
        <is>
          <t>https://vn.linkedin.com/in/dat-tran-30b444136</t>
        </is>
      </c>
      <c r="P16" s="4" t="inlineStr">
        <is>
          <t>Chưa liên hệ</t>
        </is>
      </c>
      <c r="Q16" s="5" t="n"/>
      <c r="R16" s="4" t="n"/>
      <c r="S16" s="4" t="inlineStr">
        <is>
          <t>Chưa phản hồi</t>
        </is>
      </c>
      <c r="T16" s="4" t="inlineStr">
        <is>
          <t>Chưa xác minh</t>
        </is>
      </c>
      <c r="U16" s="4" t="n"/>
    </row>
    <row r="17">
      <c r="A17" s="2" t="n">
        <v>16</v>
      </c>
      <c r="B17" s="2" t="inlineStr">
        <is>
          <t>Chính</t>
        </is>
      </c>
      <c r="C17" s="2" t="inlineStr">
        <is>
          <t>FMCG-006</t>
        </is>
      </c>
      <c r="D17" s="2" t="inlineStr">
        <is>
          <t>Việt Tiến</t>
        </is>
      </c>
      <c r="E17" s="2" t="inlineStr">
        <is>
          <t>Sales Supervisor, seeking ASM</t>
        </is>
      </c>
      <c r="F17" s="2" t="inlineStr">
        <is>
          <t>(FMCG)</t>
        </is>
      </c>
      <c r="G17" s="2" t="inlineStr">
        <is>
          <t>Not verified</t>
        </is>
      </c>
      <c r="H17" s="2" t="inlineStr">
        <is>
          <t>7 years FMCG, supervisor level</t>
        </is>
      </c>
      <c r="I17" s="2" t="inlineStr">
        <is>
          <t>confirmed</t>
        </is>
      </c>
      <c r="J17" s="2" t="inlineStr">
        <is>
          <t>không rõ</t>
        </is>
      </c>
      <c r="K17" s="2" t="inlineStr">
        <is>
          <t>Profile headline: "Sales Supervisor | 7 Years FMCG | Seeking ASM Opportunity"</t>
        </is>
      </c>
      <c r="L17" s="3" t="inlineStr">
        <is>
          <t>https://vn.linkedin.com/in/vi%E1%BB%87t-ti%E1%BA%BFn-4b62a23b8</t>
        </is>
      </c>
      <c r="M17" s="2" t="n">
        <v>45</v>
      </c>
      <c r="N17" s="2" t="inlineStr">
        <is>
          <t>Supervisor level, below Department Head; Location not verified</t>
        </is>
      </c>
      <c r="O17" s="3" t="inlineStr">
        <is>
          <t>https://vn.linkedin.com/in/vi%E1%BB%87t-ti%E1%BA%BFn-4b62a23b8</t>
        </is>
      </c>
      <c r="P17" s="4" t="inlineStr">
        <is>
          <t>Chưa liên hệ</t>
        </is>
      </c>
      <c r="Q17" s="5" t="n"/>
      <c r="R17" s="4" t="n"/>
      <c r="S17" s="4" t="inlineStr">
        <is>
          <t>Chưa phản hồi</t>
        </is>
      </c>
      <c r="T17" s="4" t="inlineStr">
        <is>
          <t>Chưa xác minh</t>
        </is>
      </c>
      <c r="U17" s="4" t="n"/>
    </row>
    <row r="18">
      <c r="A18" s="2" t="n">
        <v>17</v>
      </c>
      <c r="B18" s="2" t="inlineStr">
        <is>
          <t>Chính</t>
        </is>
      </c>
      <c r="C18" s="2" t="inlineStr">
        <is>
          <t>FMCG-019</t>
        </is>
      </c>
      <c r="D18" s="2" t="inlineStr">
        <is>
          <t>Richard Pham</t>
        </is>
      </c>
      <c r="E18" s="2" t="inlineStr">
        <is>
          <t>Sales Specialist | Foodservice &amp; Bakery Solutions</t>
        </is>
      </c>
      <c r="F18" s="2" t="inlineStr">
        <is>
          <t>(food ingredients)</t>
        </is>
      </c>
      <c r="G18" s="2" t="inlineStr">
        <is>
          <t>Not verified</t>
        </is>
      </c>
      <c r="H18" s="2" t="inlineStr">
        <is>
          <t>Foodservice/bakery, FMCG</t>
        </is>
      </c>
      <c r="I18" s="2" t="inlineStr">
        <is>
          <t>confirmed</t>
        </is>
      </c>
      <c r="J18" s="2" t="inlineStr">
        <is>
          <t>không rõ</t>
        </is>
      </c>
      <c r="K18" s="2" t="inlineStr">
        <is>
          <t>Profile: "Currently, I am looking for opportunities to grow into Area Sales Manager or Business Development Manager positions within FMCG, Food Ingredients, Dairy..."</t>
        </is>
      </c>
      <c r="L18" s="3" t="inlineStr">
        <is>
          <t>https://vn.linkedin.com/in/richard-pham-187288188</t>
        </is>
      </c>
      <c r="M18" s="2" t="n">
        <v>42</v>
      </c>
      <c r="N18" s="2" t="inlineStr">
        <is>
          <t>Specialist level, below Department Head; Location not verified</t>
        </is>
      </c>
      <c r="O18" s="3" t="inlineStr">
        <is>
          <t>https://vn.linkedin.com/in/richard-pham-187288188</t>
        </is>
      </c>
      <c r="P18" s="4" t="inlineStr">
        <is>
          <t>Chưa liên hệ</t>
        </is>
      </c>
      <c r="Q18" s="5" t="n"/>
      <c r="R18" s="4" t="n"/>
      <c r="S18" s="4" t="inlineStr">
        <is>
          <t>Chưa phản hồi</t>
        </is>
      </c>
      <c r="T18" s="4" t="inlineStr">
        <is>
          <t>Chưa xác minh</t>
        </is>
      </c>
      <c r="U18" s="4" t="n"/>
    </row>
    <row r="19">
      <c r="A19" s="2" t="n">
        <v>18</v>
      </c>
      <c r="B19" s="2" t="inlineStr">
        <is>
          <t>Chính</t>
        </is>
      </c>
      <c r="C19" s="2" t="inlineStr">
        <is>
          <t>FMCG-007</t>
        </is>
      </c>
      <c r="D19" s="2" t="inlineStr">
        <is>
          <t>Thuỳ Dung</t>
        </is>
      </c>
      <c r="E19" s="2" t="inlineStr">
        <is>
          <t>Seeking Area Sales Manager</t>
        </is>
      </c>
      <c r="F19" s="2" t="inlineStr">
        <is>
          <t>(FMCG)</t>
        </is>
      </c>
      <c r="G19" s="2" t="inlineStr">
        <is>
          <t>Not verified</t>
        </is>
      </c>
      <c r="H19" s="2" t="inlineStr">
        <is>
          <t>FMCG; previously reported to an ASM (sub-ASM level)</t>
        </is>
      </c>
      <c r="I19" s="2" t="inlineStr">
        <is>
          <t>confirmed</t>
        </is>
      </c>
      <c r="J19" s="2" t="inlineStr">
        <is>
          <t>không rõ</t>
        </is>
      </c>
      <c r="K19" s="2" t="inlineStr">
        <is>
          <t>Profile headline: "Looking for Area Sales Manager"</t>
        </is>
      </c>
      <c r="L19" s="3" t="inlineStr">
        <is>
          <t>https://vn.linkedin.com/in/thu%E1%BB%B3-dung-26877b16a</t>
        </is>
      </c>
      <c r="M19" s="2" t="n">
        <v>40</v>
      </c>
      <c r="N19" s="2" t="inlineStr">
        <is>
          <t>Level below ASM; Location not verified</t>
        </is>
      </c>
      <c r="O19" s="3" t="inlineStr">
        <is>
          <t>https://vn.linkedin.com/in/thu%E1%BB%B3-dung-26877b16a</t>
        </is>
      </c>
      <c r="P19" s="4" t="inlineStr">
        <is>
          <t>Chưa liên hệ</t>
        </is>
      </c>
      <c r="Q19" s="5" t="n"/>
      <c r="R19" s="4" t="n"/>
      <c r="S19" s="4" t="inlineStr">
        <is>
          <t>Chưa phản hồi</t>
        </is>
      </c>
      <c r="T19" s="4" t="inlineStr">
        <is>
          <t>Chưa xác minh</t>
        </is>
      </c>
      <c r="U19" s="4" t="n"/>
    </row>
    <row r="20">
      <c r="A20" s="2" t="n">
        <v>19</v>
      </c>
      <c r="B20" s="2" t="inlineStr">
        <is>
          <t>Theo dõi</t>
        </is>
      </c>
      <c r="C20" s="2" t="inlineStr">
        <is>
          <t>FMCG-W01</t>
        </is>
      </c>
      <c r="D20" s="2" t="inlineStr">
        <is>
          <t>HOP DANG</t>
        </is>
      </c>
      <c r="E20" s="2" t="inlineStr">
        <is>
          <t>Area Sales Manager (since 12/2024)</t>
        </is>
      </c>
      <c r="F20" s="2" t="inlineStr">
        <is>
          <t>LOF International Dairy JSC</t>
        </is>
      </c>
      <c r="G20" s="2" t="inlineStr">
        <is>
          <t>Ho Chi Minh City</t>
        </is>
      </c>
      <c r="H20" s="2" t="inlineStr">
        <is>
          <t>ASM in the dairy industry, HCM</t>
        </is>
      </c>
      <c r="I20" s="2" t="inlineStr">
        <is>
          <t>unverified</t>
        </is>
      </c>
      <c r="J20" s="2" t="inlineStr"/>
      <c r="K20" s="2" t="inlineStr">
        <is>
          <t>Chưa thấy tín hiệu tìm việc công khai</t>
        </is>
      </c>
      <c r="L20" s="2" t="inlineStr"/>
      <c r="M20" s="2" t="n"/>
      <c r="N20" s="2" t="inlineStr">
        <is>
          <t>Cần hỏi trực tiếp nhu cầu chuyển việc</t>
        </is>
      </c>
      <c r="O20" s="3" t="inlineStr">
        <is>
          <t>https://vn.linkedin.com/in/hop-dang-68bb35312</t>
        </is>
      </c>
      <c r="P20" s="4" t="inlineStr">
        <is>
          <t>Chưa liên hệ</t>
        </is>
      </c>
      <c r="Q20" s="5" t="n"/>
      <c r="R20" s="4" t="n"/>
      <c r="S20" s="4" t="inlineStr">
        <is>
          <t>Chưa phản hồi</t>
        </is>
      </c>
      <c r="T20" s="4" t="inlineStr">
        <is>
          <t>Chưa xác minh</t>
        </is>
      </c>
      <c r="U20" s="4" t="n"/>
    </row>
    <row r="21">
      <c r="A21" s="2" t="n">
        <v>20</v>
      </c>
      <c r="B21" s="2" t="inlineStr">
        <is>
          <t>Theo dõi</t>
        </is>
      </c>
      <c r="C21" s="2" t="inlineStr">
        <is>
          <t>FMCG-W02</t>
        </is>
      </c>
      <c r="D21" s="2" t="inlineStr">
        <is>
          <t>Hoa Nguyen</t>
        </is>
      </c>
      <c r="E21" s="2" t="inlineStr">
        <is>
          <t>Area Sales Manager</t>
        </is>
      </c>
      <c r="F21" s="2" t="inlineStr">
        <is>
          <t>Tribeco Vietnam (beverages)</t>
        </is>
      </c>
      <c r="G21" s="2" t="inlineStr">
        <is>
          <t>Not verified</t>
        </is>
      </c>
      <c r="H21" s="2" t="inlineStr">
        <is>
          <t>FMCG sales, 13 years in management, 4+ years as ASM</t>
        </is>
      </c>
      <c r="I21" s="2" t="inlineStr">
        <is>
          <t>unverified</t>
        </is>
      </c>
      <c r="J21" s="2" t="inlineStr"/>
      <c r="K21" s="2" t="inlineStr">
        <is>
          <t>Chưa thấy tín hiệu tìm việc công khai</t>
        </is>
      </c>
      <c r="L21" s="2" t="inlineStr"/>
      <c r="M21" s="2" t="n"/>
      <c r="N21" s="2" t="inlineStr">
        <is>
          <t>Cần hỏi trực tiếp nhu cầu chuyển việc</t>
        </is>
      </c>
      <c r="O21" s="3" t="inlineStr">
        <is>
          <t>https://vn.linkedin.com/in/hoa-nguyen-881045132</t>
        </is>
      </c>
      <c r="P21" s="4" t="inlineStr">
        <is>
          <t>Chưa liên hệ</t>
        </is>
      </c>
      <c r="Q21" s="5" t="n"/>
      <c r="R21" s="4" t="n"/>
      <c r="S21" s="4" t="inlineStr">
        <is>
          <t>Chưa phản hồi</t>
        </is>
      </c>
      <c r="T21" s="4" t="inlineStr">
        <is>
          <t>Chưa xác minh</t>
        </is>
      </c>
      <c r="U21" s="4" t="n"/>
    </row>
    <row r="22">
      <c r="A22" s="2" t="n">
        <v>21</v>
      </c>
      <c r="B22" s="2" t="inlineStr">
        <is>
          <t>Theo dõi</t>
        </is>
      </c>
      <c r="C22" s="2" t="inlineStr">
        <is>
          <t>FMCG-W03</t>
        </is>
      </c>
      <c r="D22" s="2" t="inlineStr">
        <is>
          <t>Phung Ngoc Trang</t>
        </is>
      </c>
      <c r="E22" s="2" t="inlineStr">
        <is>
          <t>Vice President; previously National Sales Manager at Richfield Worldwide (2023–2024)</t>
        </is>
      </c>
      <c r="F22" s="2" t="inlineStr">
        <is>
          <t>Hung Viet Fishsauce</t>
        </is>
      </c>
      <c r="G22" s="2" t="inlineStr">
        <is>
          <t>Ho Chi Minh City</t>
        </is>
      </c>
      <c r="H22" s="2" t="inlineStr">
        <is>
          <t>27 years of experience, Head of Sales &amp; Sales Coach; senior level</t>
        </is>
      </c>
      <c r="I22" s="2" t="inlineStr">
        <is>
          <t>unverified</t>
        </is>
      </c>
      <c r="J22" s="2" t="inlineStr"/>
      <c r="K22" s="2" t="inlineStr">
        <is>
          <t>Chưa thấy tín hiệu tìm việc công khai</t>
        </is>
      </c>
      <c r="L22" s="2" t="inlineStr"/>
      <c r="M22" s="2" t="n"/>
      <c r="N22" s="2" t="inlineStr">
        <is>
          <t>Cần hỏi trực tiếp nhu cầu chuyển việc</t>
        </is>
      </c>
      <c r="O22" s="3" t="inlineStr">
        <is>
          <t>https://vn.linkedin.com/in/phung-ngoc-trang-3651116</t>
        </is>
      </c>
      <c r="P22" s="4" t="inlineStr">
        <is>
          <t>Chưa liên hệ</t>
        </is>
      </c>
      <c r="Q22" s="5" t="n"/>
      <c r="R22" s="4" t="n"/>
      <c r="S22" s="4" t="inlineStr">
        <is>
          <t>Chưa phản hồi</t>
        </is>
      </c>
      <c r="T22" s="4" t="inlineStr">
        <is>
          <t>Chưa xác minh</t>
        </is>
      </c>
      <c r="U22" s="4" t="n"/>
    </row>
    <row r="23">
      <c r="A23" s="2" t="n">
        <v>22</v>
      </c>
      <c r="B23" s="2" t="inlineStr">
        <is>
          <t>Theo dõi</t>
        </is>
      </c>
      <c r="C23" s="2" t="inlineStr">
        <is>
          <t>FMCG-W04</t>
        </is>
      </c>
      <c r="D23" s="2" t="inlineStr">
        <is>
          <t>Ms. Many</t>
        </is>
      </c>
      <c r="E23" s="2" t="inlineStr">
        <is>
          <t>Sales Manager</t>
        </is>
      </c>
      <c r="F23" s="2" t="inlineStr">
        <is>
          <t>Huynh Lam Natural Products Manufacturing</t>
        </is>
      </c>
      <c r="G23" s="2" t="inlineStr">
        <is>
          <t>Ho Chi Minh City Metropolitan Area</t>
        </is>
      </c>
      <c r="H23" s="2" t="inlineStr">
        <is>
          <t>Supplies natural ingredients to F&amp;B chains worldwide; display name is not a full name</t>
        </is>
      </c>
      <c r="I23" s="2" t="inlineStr">
        <is>
          <t>unverified</t>
        </is>
      </c>
      <c r="J23" s="2" t="inlineStr"/>
      <c r="K23" s="2" t="inlineStr">
        <is>
          <t>Chưa thấy tín hiệu tìm việc công khai</t>
        </is>
      </c>
      <c r="L23" s="2" t="inlineStr"/>
      <c r="M23" s="2" t="n"/>
      <c r="N23" s="2" t="inlineStr">
        <is>
          <t>Cần hỏi trực tiếp nhu cầu chuyển việc</t>
        </is>
      </c>
      <c r="O23" s="3" t="inlineStr">
        <is>
          <t>https://vn.linkedin.com/in/ms-many-b61937376</t>
        </is>
      </c>
      <c r="P23" s="4" t="inlineStr">
        <is>
          <t>Chưa liên hệ</t>
        </is>
      </c>
      <c r="Q23" s="5" t="n"/>
      <c r="R23" s="4" t="n"/>
      <c r="S23" s="4" t="inlineStr">
        <is>
          <t>Chưa phản hồi</t>
        </is>
      </c>
      <c r="T23" s="4" t="inlineStr">
        <is>
          <t>Chưa xác minh</t>
        </is>
      </c>
      <c r="U23" s="4" t="n"/>
    </row>
    <row r="24">
      <c r="A24" s="2" t="n">
        <v>23</v>
      </c>
      <c r="B24" s="2" t="inlineStr">
        <is>
          <t>Theo dõi</t>
        </is>
      </c>
      <c r="C24" s="2" t="inlineStr">
        <is>
          <t>FMCG-W05</t>
        </is>
      </c>
      <c r="D24" s="2" t="inlineStr">
        <is>
          <t>Thinh Le</t>
        </is>
      </c>
      <c r="E24" s="2" t="inlineStr">
        <is>
          <t>Commercial Development Director; Sales Director FMCG</t>
        </is>
      </c>
      <c r="F24" s="2" t="inlineStr">
        <is>
          <t>SIBC (Ex-PepsiCo, Ex-Masan)</t>
        </is>
      </c>
      <c r="G24" s="2" t="inlineStr">
        <is>
          <t>Ho Chi Minh City Metropolitan Area</t>
        </is>
      </c>
      <c r="H24" s="2" t="inlineStr">
        <is>
          <t>20+ years FMCG, strong in GT expansion and turnarounds</t>
        </is>
      </c>
      <c r="I24" s="2" t="inlineStr">
        <is>
          <t>unverified</t>
        </is>
      </c>
      <c r="J24" s="2" t="inlineStr"/>
      <c r="K24" s="2" t="inlineStr">
        <is>
          <t>Chưa thấy tín hiệu tìm việc công khai</t>
        </is>
      </c>
      <c r="L24" s="2" t="inlineStr"/>
      <c r="M24" s="2" t="n"/>
      <c r="N24" s="2" t="inlineStr">
        <is>
          <t>Cần hỏi trực tiếp nhu cầu chuyển việc</t>
        </is>
      </c>
      <c r="O24" s="3" t="inlineStr">
        <is>
          <t>https://vn.linkedin.com/in/thinh-le-3b679070</t>
        </is>
      </c>
      <c r="P24" s="4" t="inlineStr">
        <is>
          <t>Chưa liên hệ</t>
        </is>
      </c>
      <c r="Q24" s="5" t="n"/>
      <c r="R24" s="4" t="n"/>
      <c r="S24" s="4" t="inlineStr">
        <is>
          <t>Chưa phản hồi</t>
        </is>
      </c>
      <c r="T24" s="4" t="inlineStr">
        <is>
          <t>Chưa xác minh</t>
        </is>
      </c>
      <c r="U24" s="4" t="n"/>
    </row>
    <row r="25">
      <c r="A25" s="2" t="n">
        <v>24</v>
      </c>
      <c r="B25" s="2" t="inlineStr">
        <is>
          <t>Theo dõi</t>
        </is>
      </c>
      <c r="C25" s="2" t="inlineStr">
        <is>
          <t>FMCG-W06</t>
        </is>
      </c>
      <c r="D25" s="2" t="inlineStr">
        <is>
          <t>Chung Nguyen</t>
        </is>
      </c>
      <c r="E25" s="2" t="inlineStr">
        <is>
          <t>Sales Director</t>
        </is>
      </c>
      <c r="F25" s="2" t="inlineStr">
        <is>
          <t>FrieslandCampina (previously Mondelez)</t>
        </is>
      </c>
      <c r="G25" s="2" t="inlineStr">
        <is>
          <t>Ho Chi Minh City Metropolitan Area</t>
        </is>
      </c>
      <c r="H25" s="2" t="inlineStr">
        <is>
          <t>Summary mentions 'looking for new opportunities to learn, grow...' (generic, not OTW)</t>
        </is>
      </c>
      <c r="I25" s="2" t="inlineStr">
        <is>
          <t>unverified</t>
        </is>
      </c>
      <c r="J25" s="2" t="inlineStr"/>
      <c r="K25" s="2" t="inlineStr">
        <is>
          <t>Chưa thấy tín hiệu tìm việc công khai</t>
        </is>
      </c>
      <c r="L25" s="2" t="inlineStr"/>
      <c r="M25" s="2" t="n"/>
      <c r="N25" s="2" t="inlineStr">
        <is>
          <t>Cần hỏi trực tiếp nhu cầu chuyển việc</t>
        </is>
      </c>
      <c r="O25" s="3" t="inlineStr">
        <is>
          <t>https://vn.linkedin.com/in/chung-nguyen-9924681b</t>
        </is>
      </c>
      <c r="P25" s="4" t="inlineStr">
        <is>
          <t>Chưa liên hệ</t>
        </is>
      </c>
      <c r="Q25" s="5" t="n"/>
      <c r="R25" s="4" t="n"/>
      <c r="S25" s="4" t="inlineStr">
        <is>
          <t>Chưa phản hồi</t>
        </is>
      </c>
      <c r="T25" s="4" t="inlineStr">
        <is>
          <t>Chưa xác minh</t>
        </is>
      </c>
      <c r="U25" s="4" t="n"/>
    </row>
    <row r="26">
      <c r="A26" s="2" t="n">
        <v>25</v>
      </c>
      <c r="B26" s="2" t="inlineStr">
        <is>
          <t>Theo dõi</t>
        </is>
      </c>
      <c r="C26" s="2" t="inlineStr">
        <is>
          <t>FMCG-W07</t>
        </is>
      </c>
      <c r="D26" s="2" t="inlineStr">
        <is>
          <t>Uyen Nguyen</t>
        </is>
      </c>
      <c r="E26" s="2" t="inlineStr">
        <is>
          <t>Horeca Sales Manager</t>
        </is>
      </c>
      <c r="F26" s="2" t="inlineStr">
        <is>
          <t>Annam Group</t>
        </is>
      </c>
      <c r="G26" s="2" t="inlineStr">
        <is>
          <t>Ho Chi Minh City</t>
        </is>
      </c>
      <c r="H26" s="2" t="inlineStr">
        <is>
          <t>Foodservice key accounts</t>
        </is>
      </c>
      <c r="I26" s="2" t="inlineStr">
        <is>
          <t>unverified</t>
        </is>
      </c>
      <c r="J26" s="2" t="inlineStr"/>
      <c r="K26" s="2" t="inlineStr">
        <is>
          <t>Chưa thấy tín hiệu tìm việc công khai</t>
        </is>
      </c>
      <c r="L26" s="2" t="inlineStr"/>
      <c r="M26" s="2" t="n"/>
      <c r="N26" s="2" t="inlineStr">
        <is>
          <t>Cần hỏi trực tiếp nhu cầu chuyển việc</t>
        </is>
      </c>
      <c r="O26" s="3" t="inlineStr">
        <is>
          <t>https://vn.linkedin.com/in/uyen-nguyen-b9a5801aa</t>
        </is>
      </c>
      <c r="P26" s="4" t="inlineStr">
        <is>
          <t>Chưa liên hệ</t>
        </is>
      </c>
      <c r="Q26" s="5" t="n"/>
      <c r="R26" s="4" t="n"/>
      <c r="S26" s="4" t="inlineStr">
        <is>
          <t>Chưa phản hồi</t>
        </is>
      </c>
      <c r="T26" s="4" t="inlineStr">
        <is>
          <t>Chưa xác minh</t>
        </is>
      </c>
      <c r="U26" s="4" t="n"/>
    </row>
    <row r="27">
      <c r="A27" s="2" t="n">
        <v>26</v>
      </c>
      <c r="B27" s="2" t="inlineStr">
        <is>
          <t>Theo dõi</t>
        </is>
      </c>
      <c r="C27" s="2" t="inlineStr">
        <is>
          <t>FMCG-W08</t>
        </is>
      </c>
      <c r="D27" s="2" t="inlineStr">
        <is>
          <t>Ai Vo Tran Dau</t>
        </is>
      </c>
      <c r="E27" s="2" t="inlineStr">
        <is>
          <t>Sales Manager Food APAC</t>
        </is>
      </c>
      <c r="F27" s="2" t="inlineStr">
        <is>
          <t>Crespel &amp; Deiters Food Solutions</t>
        </is>
      </c>
      <c r="G27" s="2" t="inlineStr">
        <is>
          <t>Ho Chi Minh City</t>
        </is>
      </c>
      <c r="H27" s="2" t="inlineStr">
        <is>
          <t>Food ingredients B2B</t>
        </is>
      </c>
      <c r="I27" s="2" t="inlineStr">
        <is>
          <t>unverified</t>
        </is>
      </c>
      <c r="J27" s="2" t="inlineStr"/>
      <c r="K27" s="2" t="inlineStr">
        <is>
          <t>Chưa thấy tín hiệu tìm việc công khai</t>
        </is>
      </c>
      <c r="L27" s="2" t="inlineStr"/>
      <c r="M27" s="2" t="n"/>
      <c r="N27" s="2" t="inlineStr">
        <is>
          <t>Cần hỏi trực tiếp nhu cầu chuyển việc</t>
        </is>
      </c>
      <c r="O27" s="3" t="inlineStr">
        <is>
          <t>https://vn.linkedin.com/in/votrandauai</t>
        </is>
      </c>
      <c r="P27" s="4" t="inlineStr">
        <is>
          <t>Chưa liên hệ</t>
        </is>
      </c>
      <c r="Q27" s="5" t="n"/>
      <c r="R27" s="4" t="n"/>
      <c r="S27" s="4" t="inlineStr">
        <is>
          <t>Chưa phản hồi</t>
        </is>
      </c>
      <c r="T27" s="4" t="inlineStr">
        <is>
          <t>Chưa xác minh</t>
        </is>
      </c>
      <c r="U27" s="4" t="n"/>
    </row>
  </sheetData>
  <autoFilter ref="A1:U27"/>
  <conditionalFormatting sqref="P2:P27">
    <cfRule type="cellIs" priority="1" operator="equal" dxfId="0">
      <formula>"Đã liên hệ"</formula>
    </cfRule>
  </conditionalFormatting>
  <conditionalFormatting sqref="T2:T27">
    <cfRule type="cellIs" priority="2" operator="equal" dxfId="0">
      <formula>"Đang tìm việc"</formula>
    </cfRule>
  </conditionalFormatting>
  <dataValidations count="5">
    <dataValidation sqref="P2:P27" showDropDown="0" showInputMessage="0" showErrorMessage="0" allowBlank="1" type="list">
      <formula1>"Chưa liên hệ,Đã liên hệ,Không liên hệ được"</formula1>
    </dataValidation>
    <dataValidation sqref="R2:R27" showDropDown="0" showInputMessage="0" showErrorMessage="0" allowBlank="1" type="list">
      <formula1>"LinkedIn InMail,LinkedIn kết nối,Email,Điện thoại/Zalo,Giới thiệu,Khác"</formula1>
    </dataValidation>
    <dataValidation sqref="S2:S27" showDropDown="0" showInputMessage="0" showErrorMessage="0" allowBlank="1" type="list">
      <formula1>"Chưa phản hồi,Quan tâm,Không quan tâm,Hẹn phỏng vấn,Từ chối"</formula1>
    </dataValidation>
    <dataValidation sqref="T2:T27" showDropDown="0" showInputMessage="0" showErrorMessage="0" allowBlank="1" type="list">
      <formula1>"Chưa xác minh,Đang tìm việc,Đang làm việc - mở cơ hội,Đang làm việc - không đổi việc,Đã nhận offer nơi khác"</formula1>
    </dataValidation>
    <dataValidation sqref="Q2:Q27" showDropDown="0" showInputMessage="0" showErrorMessage="0" allowBlank="1" type="date" operator="greaterThan">
      <formula1>DATE(2020,1,1)</formula1>
    </dataValidation>
  </dataValidations>
  <hyperlinks>
    <hyperlink xmlns:r="http://schemas.openxmlformats.org/officeDocument/2006/relationships" ref="L2" r:id="rId1"/>
    <hyperlink xmlns:r="http://schemas.openxmlformats.org/officeDocument/2006/relationships" ref="O2" r:id="rId2"/>
    <hyperlink xmlns:r="http://schemas.openxmlformats.org/officeDocument/2006/relationships" ref="L3" r:id="rId3"/>
    <hyperlink xmlns:r="http://schemas.openxmlformats.org/officeDocument/2006/relationships" ref="O3" r:id="rId4"/>
    <hyperlink xmlns:r="http://schemas.openxmlformats.org/officeDocument/2006/relationships" ref="L4" r:id="rId5"/>
    <hyperlink xmlns:r="http://schemas.openxmlformats.org/officeDocument/2006/relationships" ref="O4" r:id="rId6"/>
    <hyperlink xmlns:r="http://schemas.openxmlformats.org/officeDocument/2006/relationships" ref="L5" r:id="rId7"/>
    <hyperlink xmlns:r="http://schemas.openxmlformats.org/officeDocument/2006/relationships" ref="O5" r:id="rId8"/>
    <hyperlink xmlns:r="http://schemas.openxmlformats.org/officeDocument/2006/relationships" ref="L6" r:id="rId9"/>
    <hyperlink xmlns:r="http://schemas.openxmlformats.org/officeDocument/2006/relationships" ref="O6" r:id="rId10"/>
    <hyperlink xmlns:r="http://schemas.openxmlformats.org/officeDocument/2006/relationships" ref="L7" r:id="rId11"/>
    <hyperlink xmlns:r="http://schemas.openxmlformats.org/officeDocument/2006/relationships" ref="O7" r:id="rId12"/>
    <hyperlink xmlns:r="http://schemas.openxmlformats.org/officeDocument/2006/relationships" ref="L8" r:id="rId13"/>
    <hyperlink xmlns:r="http://schemas.openxmlformats.org/officeDocument/2006/relationships" ref="O8" r:id="rId14"/>
    <hyperlink xmlns:r="http://schemas.openxmlformats.org/officeDocument/2006/relationships" ref="L9" r:id="rId15"/>
    <hyperlink xmlns:r="http://schemas.openxmlformats.org/officeDocument/2006/relationships" ref="O9" r:id="rId16"/>
    <hyperlink xmlns:r="http://schemas.openxmlformats.org/officeDocument/2006/relationships" ref="L10" r:id="rId17"/>
    <hyperlink xmlns:r="http://schemas.openxmlformats.org/officeDocument/2006/relationships" ref="O10" r:id="rId18"/>
    <hyperlink xmlns:r="http://schemas.openxmlformats.org/officeDocument/2006/relationships" ref="L11" r:id="rId19"/>
    <hyperlink xmlns:r="http://schemas.openxmlformats.org/officeDocument/2006/relationships" ref="O11" r:id="rId20"/>
    <hyperlink xmlns:r="http://schemas.openxmlformats.org/officeDocument/2006/relationships" ref="L12" r:id="rId21"/>
    <hyperlink xmlns:r="http://schemas.openxmlformats.org/officeDocument/2006/relationships" ref="O12" r:id="rId22"/>
    <hyperlink xmlns:r="http://schemas.openxmlformats.org/officeDocument/2006/relationships" ref="L13" r:id="rId23"/>
    <hyperlink xmlns:r="http://schemas.openxmlformats.org/officeDocument/2006/relationships" ref="O13" r:id="rId24"/>
    <hyperlink xmlns:r="http://schemas.openxmlformats.org/officeDocument/2006/relationships" ref="L14" r:id="rId25"/>
    <hyperlink xmlns:r="http://schemas.openxmlformats.org/officeDocument/2006/relationships" ref="O14" r:id="rId26"/>
    <hyperlink xmlns:r="http://schemas.openxmlformats.org/officeDocument/2006/relationships" ref="L15" r:id="rId27"/>
    <hyperlink xmlns:r="http://schemas.openxmlformats.org/officeDocument/2006/relationships" ref="O15" r:id="rId28"/>
    <hyperlink xmlns:r="http://schemas.openxmlformats.org/officeDocument/2006/relationships" ref="L16" r:id="rId29"/>
    <hyperlink xmlns:r="http://schemas.openxmlformats.org/officeDocument/2006/relationships" ref="O16" r:id="rId30"/>
    <hyperlink xmlns:r="http://schemas.openxmlformats.org/officeDocument/2006/relationships" ref="L17" r:id="rId31"/>
    <hyperlink xmlns:r="http://schemas.openxmlformats.org/officeDocument/2006/relationships" ref="O17" r:id="rId32"/>
    <hyperlink xmlns:r="http://schemas.openxmlformats.org/officeDocument/2006/relationships" ref="L18" r:id="rId33"/>
    <hyperlink xmlns:r="http://schemas.openxmlformats.org/officeDocument/2006/relationships" ref="O18" r:id="rId34"/>
    <hyperlink xmlns:r="http://schemas.openxmlformats.org/officeDocument/2006/relationships" ref="L19" r:id="rId35"/>
    <hyperlink xmlns:r="http://schemas.openxmlformats.org/officeDocument/2006/relationships" ref="O19" r:id="rId36"/>
    <hyperlink xmlns:r="http://schemas.openxmlformats.org/officeDocument/2006/relationships" ref="O20" r:id="rId37"/>
    <hyperlink xmlns:r="http://schemas.openxmlformats.org/officeDocument/2006/relationships" ref="O21" r:id="rId38"/>
    <hyperlink xmlns:r="http://schemas.openxmlformats.org/officeDocument/2006/relationships" ref="O22" r:id="rId39"/>
    <hyperlink xmlns:r="http://schemas.openxmlformats.org/officeDocument/2006/relationships" ref="O23" r:id="rId40"/>
    <hyperlink xmlns:r="http://schemas.openxmlformats.org/officeDocument/2006/relationships" ref="O24" r:id="rId41"/>
    <hyperlink xmlns:r="http://schemas.openxmlformats.org/officeDocument/2006/relationships" ref="O25" r:id="rId42"/>
    <hyperlink xmlns:r="http://schemas.openxmlformats.org/officeDocument/2006/relationships" ref="O26" r:id="rId43"/>
    <hyperlink xmlns:r="http://schemas.openxmlformats.org/officeDocument/2006/relationships" ref="O27" r:id="rId4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1" t="inlineStr">
        <is>
          <t>Chỉ số</t>
        </is>
      </c>
      <c r="B1" s="1" t="inlineStr">
        <is>
          <t>Giá trị</t>
        </is>
      </c>
    </row>
    <row r="2">
      <c r="A2" s="6" t="inlineStr">
        <is>
          <t>Tổng số hồ sơ (TP.HCM)</t>
        </is>
      </c>
      <c r="B2" s="6">
        <f>COUNTA('Ứng viên'!D2:D27)</f>
        <v/>
      </c>
    </row>
    <row r="3">
      <c r="A3" s="6" t="inlineStr">
        <is>
          <t>Ứng viên chính (có tín hiệu tìm việc)</t>
        </is>
      </c>
      <c r="B3" s="6">
        <f>COUNTIF('Ứng viên'!B2:B27,"Chính")</f>
        <v/>
      </c>
    </row>
    <row r="4">
      <c r="A4" s="6" t="inlineStr">
        <is>
          <t>Open to Work confirmed</t>
        </is>
      </c>
      <c r="B4" s="6">
        <f>COUNTIF('Ứng viên'!I2:I27,"confirmed")</f>
        <v/>
      </c>
    </row>
    <row r="5">
      <c r="A5" s="6" t="inlineStr">
        <is>
          <t>Open to Work probable</t>
        </is>
      </c>
      <c r="B5" s="6">
        <f>COUNTIF('Ứng viên'!I2:I27,"probable")</f>
        <v/>
      </c>
    </row>
    <row r="6">
      <c r="A6" s="6" t="inlineStr">
        <is>
          <t>Danh sách theo dõi</t>
        </is>
      </c>
      <c r="B6" s="6">
        <f>COUNTIF('Ứng viên'!B2:B27,"Theo dõi")</f>
        <v/>
      </c>
    </row>
    <row r="7">
      <c r="A7" s="6" t="inlineStr">
        <is>
          <t>Đã liên hệ</t>
        </is>
      </c>
      <c r="B7" s="6">
        <f>COUNTIF('Ứng viên'!P2:P27,"Đã liên hệ")</f>
        <v/>
      </c>
    </row>
    <row r="8">
      <c r="A8" s="6" t="inlineStr">
        <is>
          <t>Chưa liên hệ</t>
        </is>
      </c>
      <c r="B8" s="6">
        <f>COUNTIF('Ứng viên'!P2:P27,"Chưa liên hệ")</f>
        <v/>
      </c>
    </row>
    <row r="9">
      <c r="A9" s="6" t="inlineStr">
        <is>
          <t>Tỷ lệ đã liên hệ</t>
        </is>
      </c>
      <c r="B9" s="7">
        <f>IFERROR(B7/B2,0)</f>
        <v/>
      </c>
    </row>
    <row r="10">
      <c r="A10" s="6" t="inlineStr">
        <is>
          <t>Phản hồi quan tâm</t>
        </is>
      </c>
      <c r="B10" s="6">
        <f>COUNTIF('Ứng viên'!S2:S27,"Quan tâm")</f>
        <v/>
      </c>
    </row>
    <row r="11">
      <c r="A11" s="6" t="inlineStr">
        <is>
          <t>Hẹn phỏng vấn</t>
        </is>
      </c>
      <c r="B11" s="6">
        <f>COUNTIF('Ứng viên'!S2:S27,"Hẹn phỏng vấn")</f>
        <v/>
      </c>
    </row>
    <row r="12">
      <c r="A12" s="6" t="inlineStr">
        <is>
          <t>Trạng thái: Đang tìm việc</t>
        </is>
      </c>
      <c r="B12" s="6">
        <f>COUNTIF('Ứng viên'!T2:T27,"Đang tìm việc")</f>
        <v/>
      </c>
    </row>
    <row r="13">
      <c r="A13" s="6" t="inlineStr">
        <is>
          <t>Trạng thái: Chưa xác minh</t>
        </is>
      </c>
      <c r="B13" s="6">
        <f>COUNTIF('Ứng viên'!T2:T27,"Chưa xác minh")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  <col width="70" customWidth="1" min="3" max="3"/>
  </cols>
  <sheetData>
    <row r="1">
      <c r="A1" s="1" t="inlineStr">
        <is>
          <t>Họ tên</t>
        </is>
      </c>
      <c r="B1" s="1" t="inlineStr">
        <is>
          <t>LinkedIn</t>
        </is>
      </c>
      <c r="C1" s="1" t="inlineStr">
        <is>
          <t>Lý do loại</t>
        </is>
      </c>
    </row>
    <row r="2">
      <c r="A2" s="2" t="inlineStr">
        <is>
          <t>Chien Nguyen</t>
        </is>
      </c>
      <c r="B2" s="3" t="inlineStr">
        <is>
          <t>https://vn.linkedin.com/in/chien-nguyen-077211110</t>
        </is>
      </c>
      <c r="C2" s="2" t="inlineStr">
        <is>
          <t>Headline 'Looking for ASM GT...' but is actually HR/Talent Acquisition recruiting candidates, not a candidate</t>
        </is>
      </c>
    </row>
    <row r="3">
      <c r="A3" s="2" t="inlineStr">
        <is>
          <t>Linh Nguyễn Duy</t>
        </is>
      </c>
      <c r="B3" s="3" t="inlineStr">
        <is>
          <t>https://vn.linkedin.com/in/linh-nguyenduy</t>
        </is>
      </c>
      <c r="C3" s="2" t="inlineStr">
        <is>
          <t>Open for a new job (RSM/ASM 18 years) but based in Hải Dương</t>
        </is>
      </c>
    </row>
    <row r="4">
      <c r="A4" s="2" t="inlineStr">
        <is>
          <t>DO HUU PHU</t>
        </is>
      </c>
      <c r="B4" s="3" t="inlineStr">
        <is>
          <t>https://vn.linkedin.com/in/do-huu-phu-670717186</t>
        </is>
      </c>
      <c r="C4" s="2" t="inlineStr">
        <is>
          <t>RSM Hanoi &amp; North (NutiFood); location is Hanoi</t>
        </is>
      </c>
    </row>
    <row r="5">
      <c r="A5" s="2" t="inlineStr">
        <is>
          <t>Do Trong</t>
        </is>
      </c>
      <c r="B5" s="3" t="inlineStr">
        <is>
          <t>https://vn.linkedin.com/in/do-trong-b2901716b</t>
        </is>
      </c>
      <c r="C5" s="2" t="inlineStr">
        <is>
          <t>Sales Supervisor at Diageo, Hanoi</t>
        </is>
      </c>
    </row>
    <row r="6">
      <c r="A6" s="2" t="inlineStr">
        <is>
          <t>Nguyen Hong Han</t>
        </is>
      </c>
      <c r="B6" s="3" t="inlineStr">
        <is>
          <t>https://vn.linkedin.com/in/nguyen-hong-han-41a00451</t>
        </is>
      </c>
      <c r="C6" s="2" t="inlineStr">
        <is>
          <t>Looking for RSM/ASM but based in Nha Trang, paint industry</t>
        </is>
      </c>
    </row>
    <row r="7">
      <c r="A7" s="2" t="inlineStr">
        <is>
          <t>Lâm Phạm</t>
        </is>
      </c>
      <c r="B7" s="3" t="inlineStr">
        <is>
          <t>https://vn.linkedin.com/in/l%C3%A2m-ph%E1%BA%A1m-b08a312a5</t>
        </is>
      </c>
      <c r="C7" s="2" t="inlineStr">
        <is>
          <t>Open to work but in F&amp;B chain operations, not sales</t>
        </is>
      </c>
    </row>
    <row r="8">
      <c r="A8" s="2" t="inlineStr">
        <is>
          <t>Nghia Minh Huynh</t>
        </is>
      </c>
      <c r="B8" s="3" t="inlineStr">
        <is>
          <t>https://vn.linkedin.com/in/nghiahuynhminh</t>
        </is>
      </c>
      <c r="C8" s="2" t="inlineStr">
        <is>
          <t>Open to work in F&amp;B but only 3 years, specialist level</t>
        </is>
      </c>
    </row>
    <row r="9">
      <c r="A9" s="2" t="inlineStr">
        <is>
          <t>#mc1610nd (MyConnect)</t>
        </is>
      </c>
      <c r="B9" s="3" t="inlineStr">
        <is>
          <t>https://vn.linkedin.com/posts/quynhvtn_1610-activity-7398925967253041152-_GMc</t>
        </is>
      </c>
      <c r="C9" s="2" t="inlineStr">
        <is>
          <t>Anonymous candidate, Sales Operations in HCM (contact the headhunter if needed)</t>
        </is>
      </c>
    </row>
    <row r="10">
      <c r="A10" s="2" t="inlineStr">
        <is>
          <t>Candidate shared by Lê Phương Anh</t>
        </is>
      </c>
      <c r="B10" s="3" t="inlineStr">
        <is>
          <t>https://vn.linkedin.com/posts/lethiphuonganh104_sharecv-fmcg-gt-activity-7495399105054138368-xYg3</t>
        </is>
      </c>
      <c r="C10" s="2" t="inlineStr">
        <is>
          <t>Anonymous; 13+ years FMCG GT, OTW for RSM+ but Central region</t>
        </is>
      </c>
    </row>
    <row r="11">
      <c r="A11" s="2" t="inlineStr">
        <is>
          <t>Thanh Do Trung</t>
        </is>
      </c>
      <c r="B11" s="3" t="inlineStr">
        <is>
          <t>https://vn.linkedin.com/in/thanh-do-trung-15714335</t>
        </is>
      </c>
      <c r="C11" s="2" t="inlineStr">
        <is>
          <t>Looking for a new job but experience is at HEINEKEN Hanoi Brewery, likely Hanoi; add back if they want to work in HCM</t>
        </is>
      </c>
    </row>
    <row r="12">
      <c r="A12" s="2" t="inlineStr">
        <is>
          <t>Minh Pham</t>
        </is>
      </c>
      <c r="B12" s="3" t="inlineStr">
        <is>
          <t>https://vn.linkedin.com/in/minh-pham-b43a79115</t>
        </is>
      </c>
      <c r="C12" s="2" t="inlineStr">
        <is>
          <t>Looking for Country/GM/Sales Manager but in power tools (Milwaukee), not FMCG</t>
        </is>
      </c>
    </row>
    <row r="13">
      <c r="A13" s="2" t="inlineStr">
        <is>
          <t>Vo Tan Thanh</t>
        </is>
      </c>
      <c r="B13" s="3" t="inlineStr">
        <is>
          <t>https://vn.linkedin.com/in/vo-tan-thanh-9534a8104</t>
        </is>
      </c>
      <c r="C13" s="2" t="inlineStr">
        <is>
          <t>Open for a new Sales Manager job but in packaging, not FMCG/F&amp;B</t>
        </is>
      </c>
    </row>
    <row r="14">
      <c r="A14" s="2" t="inlineStr">
        <is>
          <t>Kim Hoang Nguyen</t>
        </is>
      </c>
      <c r="B14" s="3" t="inlineStr">
        <is>
          <t>https://vn.linkedin.com/in/kimhoang279</t>
        </is>
      </c>
      <c r="C14" s="2" t="inlineStr">
        <is>
          <t>Looking for a new opportunity, HCM, but in plastics</t>
        </is>
      </c>
    </row>
    <row r="15">
      <c r="A15" s="2" t="inlineStr">
        <is>
          <t>Annam Group Career / Hang Thanh Pham / Kieu Nguyen</t>
        </is>
      </c>
      <c r="B15" s="3" t="inlineStr">
        <is>
          <t>https://vn.linkedin.com/in/annam-group-career-b56983108</t>
        </is>
      </c>
      <c r="C15" s="2" t="inlineStr">
        <is>
          <t>Recruiter headlines 'Looking for Sales Manager', not candidates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8" t="inlineStr">
        <is>
          <t>Cách dùng</t>
        </is>
      </c>
      <c r="B1" s="9" t="inlineStr"/>
    </row>
    <row r="2">
      <c r="A2" s="9" t="inlineStr">
        <is>
          <t>Ô nền vàng (cột P–U)</t>
        </is>
      </c>
      <c r="B2" s="9" t="inlineStr">
        <is>
          <t>Bạn tự cập nhật, chọn từ danh sách thả xuống</t>
        </is>
      </c>
    </row>
    <row r="3">
      <c r="A3" s="9" t="inlineStr">
        <is>
          <t>Ví dụ 1 dòng</t>
        </is>
      </c>
      <c r="B3" s="9" t="inlineStr">
        <is>
          <t>Đã liên hệ | 29/09/2026 | LinkedIn InMail | Quan tâm | Đang tìm việc | Hẹn gọi 01/10</t>
        </is>
      </c>
    </row>
    <row r="4">
      <c r="A4" s="9" t="inlineStr">
        <is>
          <t>Phạm vi</t>
        </is>
      </c>
      <c r="B4" s="9" t="inlineStr">
        <is>
          <t>Trưởng phòng Kinh doanh / Sales Manager / ASM–RSM ngành FMCG và F&amp;B tại TP.HCM. Địa điểm ghi 'Chưa xác minh' = cần hỏi lại ứng viên</t>
        </is>
      </c>
    </row>
    <row r="5">
      <c r="A5" s="9" t="inlineStr">
        <is>
          <t>Nguồn</t>
        </is>
      </c>
      <c r="B5" s="9" t="inlineStr">
        <is>
          <t>Apify Google Search Scraper + RAG Web Browser + tìm kiếm web trên hồ sơ/bài đăng LinkedIn công khai; kiểm tra 08/10/2026; không đăng nhập</t>
        </is>
      </c>
    </row>
    <row r="6">
      <c r="A6" s="9" t="inlineStr">
        <is>
          <t>Open to Work</t>
        </is>
      </c>
      <c r="B6" s="9" t="inlineStr">
        <is>
          <t>confirmed = ghi rõ đang tìm việc; probable = có tín hiệu nhưng chưa rõ ràng hoặc đã cũ; unverified = chưa thấy tín hiệu</t>
        </is>
      </c>
    </row>
    <row r="7">
      <c r="A7" s="9" t="inlineStr">
        <is>
          <t>Chấm điểm (100)</t>
        </is>
      </c>
      <c r="B7" s="9" t="inlineStr">
        <is>
          <t>OTW 20 · cấp Sales Manager trở lên 20 · kinh nghiệm FMCG/F&amp;B 20 · quản lý team 15 · kênh GT/MT/Horeca 15 · ở TP.HCM 10. Thiếu dữ liệu = 0 điểm</t>
        </is>
      </c>
    </row>
    <row r="8">
      <c r="A8" s="9" t="inlineStr">
        <is>
          <t>Giới tính</t>
        </is>
      </c>
      <c r="B8" s="9" t="inlineStr">
        <is>
          <t>Không dùng tuổi, giới tính hay đặc điểm cá nhân để lọc hoặc chấm điểm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2026-10-08T10:26:12Z</dcterms:created>
  <dcterms:modified xsi:type="dcterms:W3CDTF">2026-10-08T10:26:13Z</dcterms:modified>
</cp:coreProperties>
</file>