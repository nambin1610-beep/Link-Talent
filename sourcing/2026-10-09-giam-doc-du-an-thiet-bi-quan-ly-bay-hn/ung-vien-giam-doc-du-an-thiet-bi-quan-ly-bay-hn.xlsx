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Ứng viên" sheetId="1" state="visible" r:id="rId1"/>
    <sheet xmlns:r="http://schemas.openxmlformats.org/officeDocument/2006/relationships" name="Tổng hợp" sheetId="2" state="visible" r:id="rId2"/>
    <sheet xmlns:r="http://schemas.openxmlformats.org/officeDocument/2006/relationships" name="Đã loại" sheetId="3" state="visible" r:id="rId3"/>
    <sheet xmlns:r="http://schemas.openxmlformats.org/officeDocument/2006/relationships" name="Hướng dẫn" sheetId="4" state="visible" r:id="rId4"/>
  </sheets>
  <definedNames>
    <definedName name="_xlnm._FilterDatabase" localSheetId="0" hidden="1">'Ứng viên'!$A$1:$U$18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2" fillId="3" borderId="1" applyAlignment="1" pivotButton="0" quotePrefix="0" xfId="0">
      <alignment vertical="top" wrapText="1"/>
    </xf>
    <xf numFmtId="0" fontId="2" fillId="0" borderId="1" pivotButton="0" quotePrefix="0" xfId="0"/>
    <xf numFmtId="9" fontId="2" fillId="0" borderId="1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toan-vu-manh-31182660" TargetMode="External" Id="rId1"/><Relationship Type="http://schemas.openxmlformats.org/officeDocument/2006/relationships/hyperlink" Target="https://www.linkedin.com/in/toan-vu-manh-31182660" TargetMode="External" Id="rId2"/><Relationship Type="http://schemas.openxmlformats.org/officeDocument/2006/relationships/hyperlink" Target="https://www.linkedin.com/in/duc-minh-ngo-a554a71a0" TargetMode="External" Id="rId3"/><Relationship Type="http://schemas.openxmlformats.org/officeDocument/2006/relationships/hyperlink" Target="https://www.linkedin.com/in/duc-minh-ngo-a554a71a0" TargetMode="External" Id="rId4"/><Relationship Type="http://schemas.openxmlformats.org/officeDocument/2006/relationships/hyperlink" Target="https://vn.linkedin.com/in/nguyen-the-anh-b9b0b460" TargetMode="External" Id="rId5"/><Relationship Type="http://schemas.openxmlformats.org/officeDocument/2006/relationships/hyperlink" Target="https://vn.linkedin.com/in/nguyen-the-anh-b9b0b460" TargetMode="External" Id="rId6"/><Relationship Type="http://schemas.openxmlformats.org/officeDocument/2006/relationships/hyperlink" Target="https://vn.linkedin.com/in/xuan-truong-nguyen-8998ab186" TargetMode="External" Id="rId7"/><Relationship Type="http://schemas.openxmlformats.org/officeDocument/2006/relationships/hyperlink" Target="https://vn.linkedin.com/in/xuan-truong-nguyen-8998ab186" TargetMode="External" Id="rId8"/><Relationship Type="http://schemas.openxmlformats.org/officeDocument/2006/relationships/hyperlink" Target="https://vn.linkedin.com/in/raul-hernandez-verjillo/en" TargetMode="External" Id="rId9"/><Relationship Type="http://schemas.openxmlformats.org/officeDocument/2006/relationships/hyperlink" Target="https://vn.linkedin.com/in/tuan-tran-duc-67583b26" TargetMode="External" Id="rId10"/><Relationship Type="http://schemas.openxmlformats.org/officeDocument/2006/relationships/hyperlink" Target="https://vn.linkedin.com/in/lucienguyen1610" TargetMode="External" Id="rId11"/><Relationship Type="http://schemas.openxmlformats.org/officeDocument/2006/relationships/hyperlink" Target="https://vn.linkedin.com/in/vungocbien" TargetMode="External" Id="rId12"/><Relationship Type="http://schemas.openxmlformats.org/officeDocument/2006/relationships/hyperlink" Target="https://vn.linkedin.com/in/trac-van-ky-976902105" TargetMode="External" Id="rId13"/><Relationship Type="http://schemas.openxmlformats.org/officeDocument/2006/relationships/hyperlink" Target="https://www.linkedin.com/in/bui-ngoc-toan-589053162" TargetMode="External" Id="rId14"/><Relationship Type="http://schemas.openxmlformats.org/officeDocument/2006/relationships/hyperlink" Target="https://vn.linkedin.com/in/quoc-tuan-nguyen-71508aa1" TargetMode="External" Id="rId15"/><Relationship Type="http://schemas.openxmlformats.org/officeDocument/2006/relationships/hyperlink" Target="https://www.linkedin.com/in/cuong-tran-1a282375" TargetMode="External" Id="rId16"/><Relationship Type="http://schemas.openxmlformats.org/officeDocument/2006/relationships/hyperlink" Target="https://vn.linkedin.com/in/khanhnamvu" TargetMode="External" Id="rId17"/><Relationship Type="http://schemas.openxmlformats.org/officeDocument/2006/relationships/hyperlink" Target="https://www.linkedin.com/in/hai-bui-154523172" TargetMode="External" Id="rId18"/><Relationship Type="http://schemas.openxmlformats.org/officeDocument/2006/relationships/hyperlink" Target="https://www.linkedin.com/in/khadhraoui-ahmed" TargetMode="External" Id="rId19"/><Relationship Type="http://schemas.openxmlformats.org/officeDocument/2006/relationships/hyperlink" Target="https://www.linkedin.com/in/mark-nguyen-corepractice" TargetMode="External" Id="rId20"/><Relationship Type="http://schemas.openxmlformats.org/officeDocument/2006/relationships/hyperlink" Target="https://vn.linkedin.com/in/loc-trinh-24177097" TargetMode="External" Id="rId21"/></Relationships>
</file>

<file path=xl/worksheets/_rels/sheet3.xml.rels><Relationships xmlns="http://schemas.openxmlformats.org/package/2006/relationships"><Relationship Type="http://schemas.openxmlformats.org/officeDocument/2006/relationships/hyperlink" Target="https://vn.linkedin.com/in/tran-huynh-bao-54754a406" TargetMode="External" Id="rId1"/><Relationship Type="http://schemas.openxmlformats.org/officeDocument/2006/relationships/hyperlink" Target="https://vn.linkedin.com/in/tess-do" TargetMode="External" Id="rId2"/><Relationship Type="http://schemas.openxmlformats.org/officeDocument/2006/relationships/hyperlink" Target="https://www.linkedin.com/in/hien-hayley-nguyen-46920b1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18" customWidth="1" min="4" max="4"/>
    <col width="26" customWidth="1" min="5" max="5"/>
    <col width="26" customWidth="1" min="6" max="6"/>
    <col width="14" customWidth="1" min="7" max="7"/>
    <col width="32" customWidth="1" min="8" max="8"/>
    <col width="11" customWidth="1" min="9" max="9"/>
    <col width="11" customWidth="1" min="10" max="10"/>
    <col width="45" customWidth="1" min="11" max="11"/>
    <col width="30" customWidth="1" min="12" max="12"/>
    <col width="9" customWidth="1" min="13" max="13"/>
    <col width="38" customWidth="1" min="14" max="14"/>
    <col width="40" customWidth="1" min="15" max="15"/>
    <col width="14" customWidth="1" min="16" max="16"/>
    <col width="12" customWidth="1" min="17" max="17"/>
    <col width="14" customWidth="1" min="18" max="18"/>
    <col width="15" customWidth="1" min="19" max="19"/>
    <col width="22" customWidth="1" min="20" max="20"/>
    <col width="30" customWidth="1" min="21" max="21"/>
  </cols>
  <sheetData>
    <row r="1" ht="32" customHeight="1">
      <c r="A1" s="1" t="inlineStr">
        <is>
          <t>STT</t>
        </is>
      </c>
      <c r="B1" s="1" t="inlineStr">
        <is>
          <t>Nhóm</t>
        </is>
      </c>
      <c r="C1" s="1" t="inlineStr">
        <is>
          <t>Mã</t>
        </is>
      </c>
      <c r="D1" s="1" t="inlineStr">
        <is>
          <t>Họ tên</t>
        </is>
      </c>
      <c r="E1" s="1" t="inlineStr">
        <is>
          <t>Chức danh</t>
        </is>
      </c>
      <c r="F1" s="1" t="inlineStr">
        <is>
          <t>Công ty</t>
        </is>
      </c>
      <c r="G1" s="1" t="inlineStr">
        <is>
          <t>Địa điểm</t>
        </is>
      </c>
      <c r="H1" s="1" t="inlineStr">
        <is>
          <t>Kinh nghiệm hàng không / dự án kỹ thuật</t>
        </is>
      </c>
      <c r="I1" s="1" t="inlineStr">
        <is>
          <t>Open to Work</t>
        </is>
      </c>
      <c r="J1" s="1" t="inlineStr">
        <is>
          <t>Ngày tín hiệu</t>
        </is>
      </c>
      <c r="K1" s="1" t="inlineStr">
        <is>
          <t>Bằng chứng</t>
        </is>
      </c>
      <c r="L1" s="1" t="inlineStr">
        <is>
          <t>URL bằng chứng</t>
        </is>
      </c>
      <c r="M1" s="1" t="inlineStr">
        <is>
          <t>Điểm phù hợp</t>
        </is>
      </c>
      <c r="N1" s="1" t="inlineStr">
        <is>
          <t>Điểm cần lưu ý</t>
        </is>
      </c>
      <c r="O1" s="1" t="inlineStr">
        <is>
          <t>LinkedIn</t>
        </is>
      </c>
      <c r="P1" s="1" t="inlineStr">
        <is>
          <t>Đã liên hệ?</t>
        </is>
      </c>
      <c r="Q1" s="1" t="inlineStr">
        <is>
          <t>Ngày liên hệ</t>
        </is>
      </c>
      <c r="R1" s="1" t="inlineStr">
        <is>
          <t>Kênh liên hệ</t>
        </is>
      </c>
      <c r="S1" s="1" t="inlineStr">
        <is>
          <t>Phản hồi</t>
        </is>
      </c>
      <c r="T1" s="1" t="inlineStr">
        <is>
          <t>Trạng thái công việc</t>
        </is>
      </c>
      <c r="U1" s="1" t="inlineStr">
        <is>
          <t>Ghi chú của bạn</t>
        </is>
      </c>
    </row>
    <row r="2">
      <c r="A2" s="2" t="n">
        <v>1</v>
      </c>
      <c r="B2" s="2" t="inlineStr">
        <is>
          <t>Chính</t>
        </is>
      </c>
      <c r="C2" s="2" t="inlineStr">
        <is>
          <t>QLB-001</t>
        </is>
      </c>
      <c r="D2" s="2" t="inlineStr">
        <is>
          <t>Toan Vu Manh</t>
        </is>
      </c>
      <c r="E2" s="2" t="inlineStr">
        <is>
          <t>Managing Director (M8group); nguyên VP Sales &amp; Marketing SIB Group; nguyên GM Kỹ thuật An toàn Chất lượng Bamboo Airways</t>
        </is>
      </c>
      <c r="F2" s="2" t="inlineStr">
        <is>
          <t>M8group; TAESCO (Account Manager mảng hàng không)</t>
        </is>
      </c>
      <c r="G2" s="2" t="inlineStr">
        <is>
          <t>Hanoi Capital Region</t>
        </is>
      </c>
      <c r="H2" s="2" t="inlineStr">
        <is>
          <t>Technical Safety Quality General Manager Bamboo Airways (12/2018–03/2024); Account Manager TAESCO – ngành hàng không (2024–nay); VP Sales &amp; Marketing SIB Group (2024)</t>
        </is>
      </c>
      <c r="I2" s="2" t="inlineStr">
        <is>
          <t>confirmed</t>
        </is>
      </c>
      <c r="J2" s="2" t="inlineStr">
        <is>
          <t>2026-10-09 (thời điểm quét)</t>
        </is>
      </c>
      <c r="K2" s="2" t="inlineStr">
        <is>
          <t>openToWork=true trên hồ sơ LinkedIn (harvestapi Full)</t>
        </is>
      </c>
      <c r="L2" s="3" t="inlineStr">
        <is>
          <t>https://www.linkedin.com/in/toan-vu-manh-31182660</t>
        </is>
      </c>
      <c r="M2" s="2" t="n">
        <v>68</v>
      </c>
      <c r="N2" s="2" t="inlineStr">
        <is>
          <t>Kinh nghiệm hàng không thiên về hãng bay/bảo dưỡng, chưa thấy thiết bị CNS/ATM; Chưa thấy kinh nghiệm làm việc với VATM</t>
        </is>
      </c>
      <c r="O2" s="3" t="inlineStr">
        <is>
          <t>https://www.linkedin.com/in/toan-vu-manh-31182660</t>
        </is>
      </c>
      <c r="P2" s="4" t="inlineStr">
        <is>
          <t>Chưa liên hệ</t>
        </is>
      </c>
      <c r="Q2" s="5" t="n"/>
      <c r="R2" s="4" t="n"/>
      <c r="S2" s="4" t="inlineStr">
        <is>
          <t>Chưa phản hồi</t>
        </is>
      </c>
      <c r="T2" s="4" t="inlineStr">
        <is>
          <t>Chưa xác minh</t>
        </is>
      </c>
      <c r="U2" s="4" t="n"/>
    </row>
    <row r="3">
      <c r="A3" s="2" t="n">
        <v>2</v>
      </c>
      <c r="B3" s="2" t="inlineStr">
        <is>
          <t>Chính</t>
        </is>
      </c>
      <c r="C3" s="2" t="inlineStr">
        <is>
          <t>QLB-002</t>
        </is>
      </c>
      <c r="D3" s="2" t="inlineStr">
        <is>
          <t>Duc M. Ngo</t>
        </is>
      </c>
      <c r="E3" s="2" t="inlineStr">
        <is>
          <t>BD Project Manager; nguyên Giám đốc Khối Kinh doanh PCC (2017–2022)</t>
        </is>
      </c>
      <c r="F3" s="2" t="inlineStr">
        <is>
          <t>ASIM Group</t>
        </is>
      </c>
      <c r="G3" s="2" t="inlineStr">
        <is>
          <t>Hanoi Capital Region</t>
        </is>
      </c>
      <c r="H3" s="2" t="inlineStr">
        <is>
          <t>Director – Trưởng phòng Kinh doanh, Công ty Xây lắp Bưu điện PCC (2017–2022); KAM B2B Samsung Vina; VNPT-VDC – bán dự án hạ tầng viễn thông</t>
        </is>
      </c>
      <c r="I3" s="2" t="inlineStr">
        <is>
          <t>confirmed</t>
        </is>
      </c>
      <c r="J3" s="2" t="inlineStr">
        <is>
          <t>2026-10-09 (thời điểm quét)</t>
        </is>
      </c>
      <c r="K3" s="2" t="inlineStr">
        <is>
          <t>openToWork=true trên hồ sơ LinkedIn (harvestapi Full)</t>
        </is>
      </c>
      <c r="L3" s="3" t="inlineStr">
        <is>
          <t>https://www.linkedin.com/in/duc-minh-ngo-a554a71a0</t>
        </is>
      </c>
      <c r="M3" s="2" t="n">
        <v>62</v>
      </c>
      <c r="N3" s="2" t="inlineStr">
        <is>
          <t>Chưa có kinh nghiệm ngành hàng không / quản lý bay; Cần kiểm tra tiếng Anh</t>
        </is>
      </c>
      <c r="O3" s="3" t="inlineStr">
        <is>
          <t>https://www.linkedin.com/in/duc-minh-ngo-a554a71a0</t>
        </is>
      </c>
      <c r="P3" s="4" t="inlineStr">
        <is>
          <t>Chưa liên hệ</t>
        </is>
      </c>
      <c r="Q3" s="5" t="n"/>
      <c r="R3" s="4" t="n"/>
      <c r="S3" s="4" t="inlineStr">
        <is>
          <t>Chưa phản hồi</t>
        </is>
      </c>
      <c r="T3" s="4" t="inlineStr">
        <is>
          <t>Chưa xác minh</t>
        </is>
      </c>
      <c r="U3" s="4" t="n"/>
    </row>
    <row r="4">
      <c r="A4" s="2" t="n">
        <v>3</v>
      </c>
      <c r="B4" s="2" t="inlineStr">
        <is>
          <t>Chính</t>
        </is>
      </c>
      <c r="C4" s="2" t="inlineStr">
        <is>
          <t>QLB-004</t>
        </is>
      </c>
      <c r="D4" s="2" t="inlineStr">
        <is>
          <t>Nguyen The Anh</t>
        </is>
      </c>
      <c r="E4" s="2" t="inlineStr">
        <is>
          <t>Sales Director</t>
        </is>
      </c>
      <c r="F4" s="2" t="inlineStr">
        <is>
          <t>VIET UY JSC</t>
        </is>
      </c>
      <c r="G4" s="2" t="inlineStr">
        <is>
          <t>Hanoi Capital Region</t>
        </is>
      </c>
      <c r="H4" s="2" t="inlineStr">
        <is>
          <t>Sales Director; tốt nghiệp ĐH Bách khoa Hà Nội. Hồ sơ được Google trả về cho truy vấn Sales Director + radar/ATM/quản lý bay tại Hà Nội</t>
        </is>
      </c>
      <c r="I4" s="2" t="inlineStr">
        <is>
          <t>probable</t>
        </is>
      </c>
      <c r="J4" s="2" t="inlineStr">
        <is>
          <t>không rõ</t>
        </is>
      </c>
      <c r="K4" s="2" t="inlineStr">
        <is>
          <t>Headline LinkedIn: "Willing to take new challanges"</t>
        </is>
      </c>
      <c r="L4" s="3" t="inlineStr">
        <is>
          <t>https://vn.linkedin.com/in/nguyen-the-anh-b9b0b460</t>
        </is>
      </c>
      <c r="M4" s="2" t="n">
        <v>55</v>
      </c>
      <c r="N4" s="2" t="inlineStr">
        <is>
          <t>Chưa xác minh ngành của VIET UY JSC và kinh nghiệm thiết bị hàng không; Ngày tín hiệu không rõ</t>
        </is>
      </c>
      <c r="O4" s="3" t="inlineStr">
        <is>
          <t>https://vn.linkedin.com/in/nguyen-the-anh-b9b0b460</t>
        </is>
      </c>
      <c r="P4" s="4" t="inlineStr">
        <is>
          <t>Chưa liên hệ</t>
        </is>
      </c>
      <c r="Q4" s="5" t="n"/>
      <c r="R4" s="4" t="n"/>
      <c r="S4" s="4" t="inlineStr">
        <is>
          <t>Chưa phản hồi</t>
        </is>
      </c>
      <c r="T4" s="4" t="inlineStr">
        <is>
          <t>Chưa xác minh</t>
        </is>
      </c>
      <c r="U4" s="4" t="n"/>
    </row>
    <row r="5">
      <c r="A5" s="2" t="n">
        <v>4</v>
      </c>
      <c r="B5" s="2" t="inlineStr">
        <is>
          <t>Chính</t>
        </is>
      </c>
      <c r="C5" s="2" t="inlineStr">
        <is>
          <t>QLB-003</t>
        </is>
      </c>
      <c r="D5" s="2" t="inlineStr">
        <is>
          <t>Xuan Truong Nguyen</t>
        </is>
      </c>
      <c r="E5" s="2" t="inlineStr">
        <is>
          <t>Aviation Professional</t>
        </is>
      </c>
      <c r="F5" s="2" t="inlineStr">
        <is>
          <t>VATM – Trung tâm Huấn luyện Quản lý bay</t>
        </is>
      </c>
      <c r="G5" s="2" t="inlineStr">
        <is>
          <t>Chưa xác minh</t>
        </is>
      </c>
      <c r="H5" s="2" t="inlineStr">
        <is>
          <t>Làm việc tại Tổng công ty Quản lý bay Việt Nam (VATM) – hiểu khách hàng chính trong JD</t>
        </is>
      </c>
      <c r="I5" s="2" t="inlineStr">
        <is>
          <t>confirmed</t>
        </is>
      </c>
      <c r="J5" s="2" t="inlineStr">
        <is>
          <t>không rõ</t>
        </is>
      </c>
      <c r="K5" s="2" t="inlineStr">
        <is>
          <t>Headline LinkedIn: "Aviation Professional Seeking New Opportunities"</t>
        </is>
      </c>
      <c r="L5" s="3" t="inlineStr">
        <is>
          <t>https://vn.linkedin.com/in/xuan-truong-nguyen-8998ab186</t>
        </is>
      </c>
      <c r="M5" s="2" t="n">
        <v>52</v>
      </c>
      <c r="N5" s="2" t="inlineStr">
        <is>
          <t>Cấp bậc chưa rõ – có thể chưa đạt cấp Giám đốc; Chưa thấy kinh nghiệm kinh doanh/đấu thầu; Chức danh và số năm kinh nghiệm chưa rõ; Ngày tín hiệu không rõ</t>
        </is>
      </c>
      <c r="O5" s="3" t="inlineStr">
        <is>
          <t>https://vn.linkedin.com/in/xuan-truong-nguyen-8998ab186</t>
        </is>
      </c>
      <c r="P5" s="4" t="inlineStr">
        <is>
          <t>Chưa liên hệ</t>
        </is>
      </c>
      <c r="Q5" s="5" t="n"/>
      <c r="R5" s="4" t="n"/>
      <c r="S5" s="4" t="inlineStr">
        <is>
          <t>Chưa phản hồi</t>
        </is>
      </c>
      <c r="T5" s="4" t="inlineStr">
        <is>
          <t>Chưa xác minh</t>
        </is>
      </c>
      <c r="U5" s="4" t="n"/>
    </row>
    <row r="6">
      <c r="A6" s="2" t="n">
        <v>5</v>
      </c>
      <c r="B6" s="2" t="inlineStr">
        <is>
          <t>Theo dõi</t>
        </is>
      </c>
      <c r="C6" s="2" t="inlineStr">
        <is>
          <t>QLB-D01</t>
        </is>
      </c>
      <c r="D6" s="2" t="inlineStr">
        <is>
          <t>Raúl Hernández Verjillo</t>
        </is>
      </c>
      <c r="E6" s="2" t="inlineStr">
        <is>
          <t>Managing Director Vietnam/South Korea</t>
        </is>
      </c>
      <c r="F6" s="2" t="inlineStr">
        <is>
          <t>Indra (hãng thiết bị ATM/radar lớn)</t>
        </is>
      </c>
      <c r="G6" s="2" t="inlineStr">
        <is>
          <t>Hanoi Capital Region</t>
        </is>
      </c>
      <c r="H6" s="2" t="inlineStr">
        <is>
          <t>[Cấp Director] Defense | Business Development Director | Country Manager APAC – đúng ngành thiết bị quản lý bay; người nước ngoài, có thể vượt mức ngân sách</t>
        </is>
      </c>
      <c r="I6" s="2" t="inlineStr">
        <is>
          <t>unverified</t>
        </is>
      </c>
      <c r="J6" s="2" t="inlineStr"/>
      <c r="K6" s="2" t="inlineStr">
        <is>
          <t>Chưa thấy tín hiệu tìm việc công khai</t>
        </is>
      </c>
      <c r="L6" s="2" t="inlineStr"/>
      <c r="M6" s="2" t="n"/>
      <c r="N6" s="2" t="inlineStr">
        <is>
          <t>Cần hỏi trực tiếp nhu cầu chuyển việc</t>
        </is>
      </c>
      <c r="O6" s="3" t="inlineStr">
        <is>
          <t>https://vn.linkedin.com/in/raul-hernandez-verjillo/en</t>
        </is>
      </c>
      <c r="P6" s="4" t="inlineStr">
        <is>
          <t>Chưa liên hệ</t>
        </is>
      </c>
      <c r="Q6" s="5" t="n"/>
      <c r="R6" s="4" t="n"/>
      <c r="S6" s="4" t="inlineStr">
        <is>
          <t>Chưa phản hồi</t>
        </is>
      </c>
      <c r="T6" s="4" t="inlineStr">
        <is>
          <t>Chưa xác minh</t>
        </is>
      </c>
      <c r="U6" s="4" t="n"/>
    </row>
    <row r="7">
      <c r="A7" s="2" t="n">
        <v>6</v>
      </c>
      <c r="B7" s="2" t="inlineStr">
        <is>
          <t>Theo dõi</t>
        </is>
      </c>
      <c r="C7" s="2" t="inlineStr">
        <is>
          <t>QLB-D02</t>
        </is>
      </c>
      <c r="D7" s="2" t="inlineStr">
        <is>
          <t>Tuan Tran Duc</t>
        </is>
      </c>
      <c r="E7" s="2" t="inlineStr">
        <is>
          <t>Business Development Director – Vietnam Gov &amp; Defense</t>
        </is>
      </c>
      <c r="F7" s="2" t="inlineStr">
        <is>
          <t>(chưa rõ)</t>
        </is>
      </c>
      <c r="G7" s="2" t="inlineStr">
        <is>
          <t>Hanoi Capital Region</t>
        </is>
      </c>
      <c r="H7" s="2" t="inlineStr">
        <is>
          <t>[Cấp Director] BD Director cho khách hàng Chính phủ &amp; Quốc phòng; chuyên gia đo lường, quang điện tử</t>
        </is>
      </c>
      <c r="I7" s="2" t="inlineStr">
        <is>
          <t>unverified</t>
        </is>
      </c>
      <c r="J7" s="2" t="inlineStr"/>
      <c r="K7" s="2" t="inlineStr">
        <is>
          <t>Chưa thấy tín hiệu tìm việc công khai</t>
        </is>
      </c>
      <c r="L7" s="2" t="inlineStr"/>
      <c r="M7" s="2" t="n"/>
      <c r="N7" s="2" t="inlineStr">
        <is>
          <t>Cần hỏi trực tiếp nhu cầu chuyển việc</t>
        </is>
      </c>
      <c r="O7" s="3" t="inlineStr">
        <is>
          <t>https://vn.linkedin.com/in/tuan-tran-duc-67583b26</t>
        </is>
      </c>
      <c r="P7" s="4" t="inlineStr">
        <is>
          <t>Chưa liên hệ</t>
        </is>
      </c>
      <c r="Q7" s="5" t="n"/>
      <c r="R7" s="4" t="n"/>
      <c r="S7" s="4" t="inlineStr">
        <is>
          <t>Chưa phản hồi</t>
        </is>
      </c>
      <c r="T7" s="4" t="inlineStr">
        <is>
          <t>Chưa xác minh</t>
        </is>
      </c>
      <c r="U7" s="4" t="n"/>
    </row>
    <row r="8">
      <c r="A8" s="2" t="n">
        <v>7</v>
      </c>
      <c r="B8" s="2" t="inlineStr">
        <is>
          <t>Theo dõi</t>
        </is>
      </c>
      <c r="C8" s="2" t="inlineStr">
        <is>
          <t>QLB-D03</t>
        </is>
      </c>
      <c r="D8" s="2" t="inlineStr">
        <is>
          <t>Lucie Nguyen</t>
        </is>
      </c>
      <c r="E8" s="2" t="inlineStr">
        <is>
          <t>Regional Sales Director</t>
        </is>
      </c>
      <c r="F8" s="2" t="inlineStr">
        <is>
          <t>Global Airtech</t>
        </is>
      </c>
      <c r="G8" s="2" t="inlineStr">
        <is>
          <t>Vietnam</t>
        </is>
      </c>
      <c r="H8" s="2" t="inlineStr">
        <is>
          <t>[Cấp Director] Nguyên Director Group Commercial APAC – HAECO (12/2023); Corporate Sales Manager Lufthansa – ngành hàng không</t>
        </is>
      </c>
      <c r="I8" s="2" t="inlineStr">
        <is>
          <t>unverified</t>
        </is>
      </c>
      <c r="J8" s="2" t="inlineStr"/>
      <c r="K8" s="2" t="inlineStr">
        <is>
          <t>Chưa thấy tín hiệu tìm việc công khai</t>
        </is>
      </c>
      <c r="L8" s="2" t="inlineStr"/>
      <c r="M8" s="2" t="n"/>
      <c r="N8" s="2" t="inlineStr">
        <is>
          <t>Cần hỏi trực tiếp nhu cầu chuyển việc</t>
        </is>
      </c>
      <c r="O8" s="3" t="inlineStr">
        <is>
          <t>https://vn.linkedin.com/in/lucienguyen1610</t>
        </is>
      </c>
      <c r="P8" s="4" t="inlineStr">
        <is>
          <t>Chưa liên hệ</t>
        </is>
      </c>
      <c r="Q8" s="5" t="n"/>
      <c r="R8" s="4" t="n"/>
      <c r="S8" s="4" t="inlineStr">
        <is>
          <t>Chưa phản hồi</t>
        </is>
      </c>
      <c r="T8" s="4" t="inlineStr">
        <is>
          <t>Chưa xác minh</t>
        </is>
      </c>
      <c r="U8" s="4" t="n"/>
    </row>
    <row r="9">
      <c r="A9" s="2" t="n">
        <v>8</v>
      </c>
      <c r="B9" s="2" t="inlineStr">
        <is>
          <t>Theo dõi</t>
        </is>
      </c>
      <c r="C9" s="2" t="inlineStr">
        <is>
          <t>QLB-D04</t>
        </is>
      </c>
      <c r="D9" s="2" t="inlineStr">
        <is>
          <t>BIEN Vu ngoc</t>
        </is>
      </c>
      <c r="E9" s="2" t="inlineStr">
        <is>
          <t>Director of Business Development</t>
        </is>
      </c>
      <c r="F9" s="2" t="inlineStr">
        <is>
          <t>Thales Cyber and Digital</t>
        </is>
      </c>
      <c r="G9" s="2" t="inlineStr">
        <is>
          <t>Hanoi</t>
        </is>
      </c>
      <c r="H9" s="2" t="inlineStr">
        <is>
          <t>[Cấp Director] Country Leadership Executive; BD Director Telecom, Banking &amp; Technology tại Thales (không phải mảng ATM)</t>
        </is>
      </c>
      <c r="I9" s="2" t="inlineStr">
        <is>
          <t>unverified</t>
        </is>
      </c>
      <c r="J9" s="2" t="inlineStr"/>
      <c r="K9" s="2" t="inlineStr">
        <is>
          <t>Chưa thấy tín hiệu tìm việc công khai</t>
        </is>
      </c>
      <c r="L9" s="2" t="inlineStr"/>
      <c r="M9" s="2" t="n"/>
      <c r="N9" s="2" t="inlineStr">
        <is>
          <t>Cần hỏi trực tiếp nhu cầu chuyển việc</t>
        </is>
      </c>
      <c r="O9" s="3" t="inlineStr">
        <is>
          <t>https://vn.linkedin.com/in/vungocbien</t>
        </is>
      </c>
      <c r="P9" s="4" t="inlineStr">
        <is>
          <t>Chưa liên hệ</t>
        </is>
      </c>
      <c r="Q9" s="5" t="n"/>
      <c r="R9" s="4" t="n"/>
      <c r="S9" s="4" t="inlineStr">
        <is>
          <t>Chưa phản hồi</t>
        </is>
      </c>
      <c r="T9" s="4" t="inlineStr">
        <is>
          <t>Chưa xác minh</t>
        </is>
      </c>
      <c r="U9" s="4" t="n"/>
    </row>
    <row r="10">
      <c r="A10" s="2" t="n">
        <v>9</v>
      </c>
      <c r="B10" s="2" t="inlineStr">
        <is>
          <t>Theo dõi</t>
        </is>
      </c>
      <c r="C10" s="2" t="inlineStr">
        <is>
          <t>QLB-D05</t>
        </is>
      </c>
      <c r="D10" s="2" t="inlineStr">
        <is>
          <t>Trac Van Ky</t>
        </is>
      </c>
      <c r="E10" s="2" t="inlineStr">
        <is>
          <t>Vice Director, Airborne Radar Center</t>
        </is>
      </c>
      <c r="F10" s="2" t="inlineStr">
        <is>
          <t>Viettel Aerospace Institute</t>
        </is>
      </c>
      <c r="G10" s="2" t="inlineStr">
        <is>
          <t>Chưa xác minh</t>
        </is>
      </c>
      <c r="H10" s="2" t="inlineStr">
        <is>
          <t>[Cấp Director] Phó giám đốc trung tâm radar – chuyên môn kỹ thuật sâu, chưa thấy kinh nghiệm bán hàng</t>
        </is>
      </c>
      <c r="I10" s="2" t="inlineStr">
        <is>
          <t>unverified</t>
        </is>
      </c>
      <c r="J10" s="2" t="inlineStr"/>
      <c r="K10" s="2" t="inlineStr">
        <is>
          <t>Chưa thấy tín hiệu tìm việc công khai</t>
        </is>
      </c>
      <c r="L10" s="2" t="inlineStr"/>
      <c r="M10" s="2" t="n"/>
      <c r="N10" s="2" t="inlineStr">
        <is>
          <t>Cần hỏi trực tiếp nhu cầu chuyển việc</t>
        </is>
      </c>
      <c r="O10" s="3" t="inlineStr">
        <is>
          <t>https://vn.linkedin.com/in/trac-van-ky-976902105</t>
        </is>
      </c>
      <c r="P10" s="4" t="inlineStr">
        <is>
          <t>Chưa liên hệ</t>
        </is>
      </c>
      <c r="Q10" s="5" t="n"/>
      <c r="R10" s="4" t="n"/>
      <c r="S10" s="4" t="inlineStr">
        <is>
          <t>Chưa phản hồi</t>
        </is>
      </c>
      <c r="T10" s="4" t="inlineStr">
        <is>
          <t>Chưa xác minh</t>
        </is>
      </c>
      <c r="U10" s="4" t="n"/>
    </row>
    <row r="11">
      <c r="A11" s="2" t="n">
        <v>10</v>
      </c>
      <c r="B11" s="2" t="inlineStr">
        <is>
          <t>Theo dõi</t>
        </is>
      </c>
      <c r="C11" s="2" t="inlineStr">
        <is>
          <t>QLB-W01</t>
        </is>
      </c>
      <c r="D11" s="2" t="inlineStr">
        <is>
          <t>Bui Ngoc Toan</t>
        </is>
      </c>
      <c r="E11" s="2" t="inlineStr">
        <is>
          <t>Regional Sales Manager SEA</t>
        </is>
      </c>
      <c r="F11" s="2" t="inlineStr">
        <is>
          <t>KISTERS Group</t>
        </is>
      </c>
      <c r="G11" s="2" t="inlineStr">
        <is>
          <t>Hanoi</t>
        </is>
      </c>
      <c r="H11" s="2" t="inlineStr">
        <is>
          <t>[Cấp Manager – tham khảo] Nguyên International BD Manager / Bids &amp; Project Manager tại đối tác công nghiệp chủ chốt của Thales (Aviation – Aerospace – Security) 2020–2024 – sát JD nhất</t>
        </is>
      </c>
      <c r="I11" s="2" t="inlineStr">
        <is>
          <t>unverified</t>
        </is>
      </c>
      <c r="J11" s="2" t="inlineStr"/>
      <c r="K11" s="2" t="inlineStr">
        <is>
          <t>Chưa thấy tín hiệu tìm việc công khai</t>
        </is>
      </c>
      <c r="L11" s="2" t="inlineStr"/>
      <c r="M11" s="2" t="n"/>
      <c r="N11" s="2" t="inlineStr">
        <is>
          <t>Cần hỏi trực tiếp nhu cầu chuyển việc</t>
        </is>
      </c>
      <c r="O11" s="3" t="inlineStr">
        <is>
          <t>https://www.linkedin.com/in/bui-ngoc-toan-589053162</t>
        </is>
      </c>
      <c r="P11" s="4" t="inlineStr">
        <is>
          <t>Chưa liên hệ</t>
        </is>
      </c>
      <c r="Q11" s="5" t="n"/>
      <c r="R11" s="4" t="n"/>
      <c r="S11" s="4" t="inlineStr">
        <is>
          <t>Chưa phản hồi</t>
        </is>
      </c>
      <c r="T11" s="4" t="inlineStr">
        <is>
          <t>Chưa xác minh</t>
        </is>
      </c>
      <c r="U11" s="4" t="n"/>
    </row>
    <row r="12">
      <c r="A12" s="2" t="n">
        <v>11</v>
      </c>
      <c r="B12" s="2" t="inlineStr">
        <is>
          <t>Theo dõi</t>
        </is>
      </c>
      <c r="C12" s="2" t="inlineStr">
        <is>
          <t>QLB-W08</t>
        </is>
      </c>
      <c r="D12" s="2" t="inlineStr">
        <is>
          <t>Quoc Tuan Nguyen</t>
        </is>
      </c>
      <c r="E12" s="2" t="inlineStr">
        <is>
          <t>Key Account Manager</t>
        </is>
      </c>
      <c r="F12" s="2" t="inlineStr">
        <is>
          <t>Thales</t>
        </is>
      </c>
      <c r="G12" s="2" t="inlineStr">
        <is>
          <t>Hanoi Capital Region</t>
        </is>
      </c>
      <c r="H12" s="2" t="inlineStr">
        <is>
          <t>[Cấp Manager – tham khảo] 15+ năm ngành hàng không, KAM tại Thales (hãng thiết bị ATM hàng đầu) – rất sát chuyên môn</t>
        </is>
      </c>
      <c r="I12" s="2" t="inlineStr">
        <is>
          <t>unverified</t>
        </is>
      </c>
      <c r="J12" s="2" t="inlineStr"/>
      <c r="K12" s="2" t="inlineStr">
        <is>
          <t>Chưa thấy tín hiệu tìm việc công khai</t>
        </is>
      </c>
      <c r="L12" s="2" t="inlineStr"/>
      <c r="M12" s="2" t="n"/>
      <c r="N12" s="2" t="inlineStr">
        <is>
          <t>Cần hỏi trực tiếp nhu cầu chuyển việc</t>
        </is>
      </c>
      <c r="O12" s="3" t="inlineStr">
        <is>
          <t>https://vn.linkedin.com/in/quoc-tuan-nguyen-71508aa1</t>
        </is>
      </c>
      <c r="P12" s="4" t="inlineStr">
        <is>
          <t>Chưa liên hệ</t>
        </is>
      </c>
      <c r="Q12" s="5" t="n"/>
      <c r="R12" s="4" t="n"/>
      <c r="S12" s="4" t="inlineStr">
        <is>
          <t>Chưa phản hồi</t>
        </is>
      </c>
      <c r="T12" s="4" t="inlineStr">
        <is>
          <t>Chưa xác minh</t>
        </is>
      </c>
      <c r="U12" s="4" t="n"/>
    </row>
    <row r="13">
      <c r="A13" s="2" t="n">
        <v>12</v>
      </c>
      <c r="B13" s="2" t="inlineStr">
        <is>
          <t>Theo dõi</t>
        </is>
      </c>
      <c r="C13" s="2" t="inlineStr">
        <is>
          <t>QLB-W02</t>
        </is>
      </c>
      <c r="D13" s="2" t="inlineStr">
        <is>
          <t>Cuong Tran</t>
        </is>
      </c>
      <c r="E13" s="2" t="inlineStr">
        <is>
          <t>Project Development Manager</t>
        </is>
      </c>
      <c r="F13" s="2" t="inlineStr">
        <is>
          <t>Viettel Aerospace (Viettel Manufacturing)</t>
        </is>
      </c>
      <c r="G13" s="2" t="inlineStr">
        <is>
          <t>Vietnam</t>
        </is>
      </c>
      <c r="H13" s="2" t="inlineStr">
        <is>
          <t>[Cấp Manager – tham khảo] Deputy Head of BD Aviation Products &amp; Maintenance JSC; Sales Team Lead VAECO (2019–2023)</t>
        </is>
      </c>
      <c r="I13" s="2" t="inlineStr">
        <is>
          <t>unverified</t>
        </is>
      </c>
      <c r="J13" s="2" t="inlineStr"/>
      <c r="K13" s="2" t="inlineStr">
        <is>
          <t>Chưa thấy tín hiệu tìm việc công khai</t>
        </is>
      </c>
      <c r="L13" s="2" t="inlineStr"/>
      <c r="M13" s="2" t="n"/>
      <c r="N13" s="2" t="inlineStr">
        <is>
          <t>Cần hỏi trực tiếp nhu cầu chuyển việc</t>
        </is>
      </c>
      <c r="O13" s="3" t="inlineStr">
        <is>
          <t>https://www.linkedin.com/in/cuong-tran-1a282375</t>
        </is>
      </c>
      <c r="P13" s="4" t="inlineStr">
        <is>
          <t>Chưa liên hệ</t>
        </is>
      </c>
      <c r="Q13" s="5" t="n"/>
      <c r="R13" s="4" t="n"/>
      <c r="S13" s="4" t="inlineStr">
        <is>
          <t>Chưa phản hồi</t>
        </is>
      </c>
      <c r="T13" s="4" t="inlineStr">
        <is>
          <t>Chưa xác minh</t>
        </is>
      </c>
      <c r="U13" s="4" t="n"/>
    </row>
    <row r="14">
      <c r="A14" s="2" t="n">
        <v>13</v>
      </c>
      <c r="B14" s="2" t="inlineStr">
        <is>
          <t>Theo dõi</t>
        </is>
      </c>
      <c r="C14" s="2" t="inlineStr">
        <is>
          <t>QLB-W03</t>
        </is>
      </c>
      <c r="D14" s="2" t="inlineStr">
        <is>
          <t>Khanh Vu</t>
        </is>
      </c>
      <c r="E14" s="2" t="inlineStr">
        <is>
          <t>Business Development Manager</t>
        </is>
      </c>
      <c r="F14" s="2" t="inlineStr">
        <is>
          <t>SITA</t>
        </is>
      </c>
      <c r="G14" s="2" t="inlineStr">
        <is>
          <t>Hanoi</t>
        </is>
      </c>
      <c r="H14" s="2" t="inlineStr">
        <is>
          <t>[Cấp Manager – tham khảo] Bán giải pháp công nghệ cho sân bay, hãng bay</t>
        </is>
      </c>
      <c r="I14" s="2" t="inlineStr">
        <is>
          <t>unverified</t>
        </is>
      </c>
      <c r="J14" s="2" t="inlineStr"/>
      <c r="K14" s="2" t="inlineStr">
        <is>
          <t>Chưa thấy tín hiệu tìm việc công khai</t>
        </is>
      </c>
      <c r="L14" s="2" t="inlineStr"/>
      <c r="M14" s="2" t="n"/>
      <c r="N14" s="2" t="inlineStr">
        <is>
          <t>Cần hỏi trực tiếp nhu cầu chuyển việc</t>
        </is>
      </c>
      <c r="O14" s="3" t="inlineStr">
        <is>
          <t>https://vn.linkedin.com/in/khanhnamvu</t>
        </is>
      </c>
      <c r="P14" s="4" t="inlineStr">
        <is>
          <t>Chưa liên hệ</t>
        </is>
      </c>
      <c r="Q14" s="5" t="n"/>
      <c r="R14" s="4" t="n"/>
      <c r="S14" s="4" t="inlineStr">
        <is>
          <t>Chưa phản hồi</t>
        </is>
      </c>
      <c r="T14" s="4" t="inlineStr">
        <is>
          <t>Chưa xác minh</t>
        </is>
      </c>
      <c r="U14" s="4" t="n"/>
    </row>
    <row r="15">
      <c r="A15" s="2" t="n">
        <v>14</v>
      </c>
      <c r="B15" s="2" t="inlineStr">
        <is>
          <t>Theo dõi</t>
        </is>
      </c>
      <c r="C15" s="2" t="inlineStr">
        <is>
          <t>QLB-W04</t>
        </is>
      </c>
      <c r="D15" s="2" t="inlineStr">
        <is>
          <t>Hai Bui</t>
        </is>
      </c>
      <c r="E15" s="2" t="inlineStr">
        <is>
          <t>General Manager Business Development</t>
        </is>
      </c>
      <c r="F15" s="2" t="inlineStr">
        <is>
          <t>Vietnam Airlines Engineering (VAECO)</t>
        </is>
      </c>
      <c r="G15" s="2" t="inlineStr">
        <is>
          <t>Hanoi</t>
        </is>
      </c>
      <c r="H15" s="2" t="inlineStr">
        <is>
          <t>[Cấp Manager – tham khảo] Phát triển kinh doanh kỹ thuật hàng không từ 2013</t>
        </is>
      </c>
      <c r="I15" s="2" t="inlineStr">
        <is>
          <t>unverified</t>
        </is>
      </c>
      <c r="J15" s="2" t="inlineStr"/>
      <c r="K15" s="2" t="inlineStr">
        <is>
          <t>Chưa thấy tín hiệu tìm việc công khai</t>
        </is>
      </c>
      <c r="L15" s="2" t="inlineStr"/>
      <c r="M15" s="2" t="n"/>
      <c r="N15" s="2" t="inlineStr">
        <is>
          <t>Cần hỏi trực tiếp nhu cầu chuyển việc</t>
        </is>
      </c>
      <c r="O15" s="3" t="inlineStr">
        <is>
          <t>https://www.linkedin.com/in/hai-bui-154523172</t>
        </is>
      </c>
      <c r="P15" s="4" t="inlineStr">
        <is>
          <t>Chưa liên hệ</t>
        </is>
      </c>
      <c r="Q15" s="5" t="n"/>
      <c r="R15" s="4" t="n"/>
      <c r="S15" s="4" t="inlineStr">
        <is>
          <t>Chưa phản hồi</t>
        </is>
      </c>
      <c r="T15" s="4" t="inlineStr">
        <is>
          <t>Chưa xác minh</t>
        </is>
      </c>
      <c r="U15" s="4" t="n"/>
    </row>
    <row r="16">
      <c r="A16" s="2" t="n">
        <v>15</v>
      </c>
      <c r="B16" s="2" t="inlineStr">
        <is>
          <t>Theo dõi</t>
        </is>
      </c>
      <c r="C16" s="2" t="inlineStr">
        <is>
          <t>QLB-W05</t>
        </is>
      </c>
      <c r="D16" s="2" t="inlineStr">
        <is>
          <t>Ahmed Khadhraoui</t>
        </is>
      </c>
      <c r="E16" s="2" t="inlineStr">
        <is>
          <t>Project Manager</t>
        </is>
      </c>
      <c r="F16" s="2" t="inlineStr">
        <is>
          <t>Artelia Vietnam</t>
        </is>
      </c>
      <c r="G16" s="2" t="inlineStr">
        <is>
          <t>Hanoi</t>
        </is>
      </c>
      <c r="H16" s="2" t="inlineStr">
        <is>
          <t>[Cấp Manager – tham khảo] Systems interface &amp; integration manager (Dorsch/DC Asia, dự án sân bay); nguyên Phó phòng khai thác sân bay OACA Tunisia</t>
        </is>
      </c>
      <c r="I16" s="2" t="inlineStr">
        <is>
          <t>unverified</t>
        </is>
      </c>
      <c r="J16" s="2" t="inlineStr"/>
      <c r="K16" s="2" t="inlineStr">
        <is>
          <t>Chưa thấy tín hiệu tìm việc công khai</t>
        </is>
      </c>
      <c r="L16" s="2" t="inlineStr"/>
      <c r="M16" s="2" t="n"/>
      <c r="N16" s="2" t="inlineStr">
        <is>
          <t>Cần hỏi trực tiếp nhu cầu chuyển việc</t>
        </is>
      </c>
      <c r="O16" s="3" t="inlineStr">
        <is>
          <t>https://www.linkedin.com/in/khadhraoui-ahmed</t>
        </is>
      </c>
      <c r="P16" s="4" t="inlineStr">
        <is>
          <t>Chưa liên hệ</t>
        </is>
      </c>
      <c r="Q16" s="5" t="n"/>
      <c r="R16" s="4" t="n"/>
      <c r="S16" s="4" t="inlineStr">
        <is>
          <t>Chưa phản hồi</t>
        </is>
      </c>
      <c r="T16" s="4" t="inlineStr">
        <is>
          <t>Chưa xác minh</t>
        </is>
      </c>
      <c r="U16" s="4" t="n"/>
    </row>
    <row r="17">
      <c r="A17" s="2" t="n">
        <v>16</v>
      </c>
      <c r="B17" s="2" t="inlineStr">
        <is>
          <t>Theo dõi</t>
        </is>
      </c>
      <c r="C17" s="2" t="inlineStr">
        <is>
          <t>QLB-W06</t>
        </is>
      </c>
      <c r="D17" s="2" t="inlineStr">
        <is>
          <t>Mark Nguyen</t>
        </is>
      </c>
      <c r="E17" s="2" t="inlineStr">
        <is>
          <t>Business Development Manager</t>
        </is>
      </c>
      <c r="F17" s="2" t="inlineStr">
        <is>
          <t>Core Practice</t>
        </is>
      </c>
      <c r="G17" s="2" t="inlineStr">
        <is>
          <t>Hanoi Capital Region</t>
        </is>
      </c>
      <c r="H17" s="2" t="inlineStr">
        <is>
          <t>[Cấp Manager – tham khảo] 18 năm Aviation Specialist tại ACV (2005–2023)</t>
        </is>
      </c>
      <c r="I17" s="2" t="inlineStr">
        <is>
          <t>unverified</t>
        </is>
      </c>
      <c r="J17" s="2" t="inlineStr"/>
      <c r="K17" s="2" t="inlineStr">
        <is>
          <t>Chưa thấy tín hiệu tìm việc công khai</t>
        </is>
      </c>
      <c r="L17" s="2" t="inlineStr"/>
      <c r="M17" s="2" t="n"/>
      <c r="N17" s="2" t="inlineStr">
        <is>
          <t>Cần hỏi trực tiếp nhu cầu chuyển việc</t>
        </is>
      </c>
      <c r="O17" s="3" t="inlineStr">
        <is>
          <t>https://www.linkedin.com/in/mark-nguyen-corepractice</t>
        </is>
      </c>
      <c r="P17" s="4" t="inlineStr">
        <is>
          <t>Chưa liên hệ</t>
        </is>
      </c>
      <c r="Q17" s="5" t="n"/>
      <c r="R17" s="4" t="n"/>
      <c r="S17" s="4" t="inlineStr">
        <is>
          <t>Chưa phản hồi</t>
        </is>
      </c>
      <c r="T17" s="4" t="inlineStr">
        <is>
          <t>Chưa xác minh</t>
        </is>
      </c>
      <c r="U17" s="4" t="n"/>
    </row>
    <row r="18">
      <c r="A18" s="2" t="n">
        <v>17</v>
      </c>
      <c r="B18" s="2" t="inlineStr">
        <is>
          <t>Theo dõi</t>
        </is>
      </c>
      <c r="C18" s="2" t="inlineStr">
        <is>
          <t>QLB-W07</t>
        </is>
      </c>
      <c r="D18" s="2" t="inlineStr">
        <is>
          <t>Loc Trinh</t>
        </is>
      </c>
      <c r="E18" s="2" t="inlineStr">
        <is>
          <t>Senior System Engineer</t>
        </is>
      </c>
      <c r="F18" s="2" t="inlineStr">
        <is>
          <t>Viet Nam Air Traffic Management Corp (VATM)</t>
        </is>
      </c>
      <c r="G18" s="2" t="inlineStr">
        <is>
          <t>Chưa xác minh</t>
        </is>
      </c>
      <c r="H18" s="2" t="inlineStr">
        <is>
          <t>[Cấp Manager – tham khảo] Radar Engineer VATM 1997–2005, Senior System Engineer từ 2006 – chuyên môn thiết bị quản lý bay sâu</t>
        </is>
      </c>
      <c r="I18" s="2" t="inlineStr">
        <is>
          <t>unverified</t>
        </is>
      </c>
      <c r="J18" s="2" t="inlineStr"/>
      <c r="K18" s="2" t="inlineStr">
        <is>
          <t>Chưa thấy tín hiệu tìm việc công khai</t>
        </is>
      </c>
      <c r="L18" s="2" t="inlineStr"/>
      <c r="M18" s="2" t="n"/>
      <c r="N18" s="2" t="inlineStr">
        <is>
          <t>Cần hỏi trực tiếp nhu cầu chuyển việc</t>
        </is>
      </c>
      <c r="O18" s="3" t="inlineStr">
        <is>
          <t>https://vn.linkedin.com/in/loc-trinh-24177097</t>
        </is>
      </c>
      <c r="P18" s="4" t="inlineStr">
        <is>
          <t>Chưa liên hệ</t>
        </is>
      </c>
      <c r="Q18" s="5" t="n"/>
      <c r="R18" s="4" t="n"/>
      <c r="S18" s="4" t="inlineStr">
        <is>
          <t>Chưa phản hồi</t>
        </is>
      </c>
      <c r="T18" s="4" t="inlineStr">
        <is>
          <t>Chưa xác minh</t>
        </is>
      </c>
      <c r="U18" s="4" t="n"/>
    </row>
  </sheetData>
  <autoFilter ref="A1:U18"/>
  <conditionalFormatting sqref="P2:P18">
    <cfRule type="cellIs" priority="1" operator="equal" dxfId="0">
      <formula>"Đã liên hệ"</formula>
    </cfRule>
  </conditionalFormatting>
  <conditionalFormatting sqref="T2:T18">
    <cfRule type="cellIs" priority="2" operator="equal" dxfId="0">
      <formula>"Đang tìm việc"</formula>
    </cfRule>
  </conditionalFormatting>
  <dataValidations count="5">
    <dataValidation sqref="P2:P18" showDropDown="0" showInputMessage="0" showErrorMessage="0" allowBlank="1" type="list">
      <formula1>"Chưa liên hệ,Đã liên hệ,Không liên hệ được"</formula1>
    </dataValidation>
    <dataValidation sqref="R2:R18" showDropDown="0" showInputMessage="0" showErrorMessage="0" allowBlank="1" type="list">
      <formula1>"LinkedIn InMail,LinkedIn kết nối,Email,Điện thoại/Zalo,Giới thiệu,Khác"</formula1>
    </dataValidation>
    <dataValidation sqref="S2:S18" showDropDown="0" showInputMessage="0" showErrorMessage="0" allowBlank="1" type="list">
      <formula1>"Chưa phản hồi,Quan tâm,Không quan tâm,Hẹn phỏng vấn,Từ chối"</formula1>
    </dataValidation>
    <dataValidation sqref="T2:T18" showDropDown="0" showInputMessage="0" showErrorMessage="0" allowBlank="1" type="list">
      <formula1>"Chưa xác minh,Đang tìm việc,Đang làm việc - mở cơ hội,Đang làm việc - không đổi việc,Đã nhận offer nơi khác"</formula1>
    </dataValidation>
    <dataValidation sqref="Q2:Q18" showDropDown="0" showInputMessage="0" showErrorMessage="0" allowBlank="1" type="date" operator="greaterThan">
      <formula1>DATE(2020,1,1)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O2" r:id="rId2"/>
    <hyperlink xmlns:r="http://schemas.openxmlformats.org/officeDocument/2006/relationships" ref="L3" r:id="rId3"/>
    <hyperlink xmlns:r="http://schemas.openxmlformats.org/officeDocument/2006/relationships" ref="O3" r:id="rId4"/>
    <hyperlink xmlns:r="http://schemas.openxmlformats.org/officeDocument/2006/relationships" ref="L4" r:id="rId5"/>
    <hyperlink xmlns:r="http://schemas.openxmlformats.org/officeDocument/2006/relationships" ref="O4" r:id="rId6"/>
    <hyperlink xmlns:r="http://schemas.openxmlformats.org/officeDocument/2006/relationships" ref="L5" r:id="rId7"/>
    <hyperlink xmlns:r="http://schemas.openxmlformats.org/officeDocument/2006/relationships" ref="O5" r:id="rId8"/>
    <hyperlink xmlns:r="http://schemas.openxmlformats.org/officeDocument/2006/relationships" ref="O6" r:id="rId9"/>
    <hyperlink xmlns:r="http://schemas.openxmlformats.org/officeDocument/2006/relationships" ref="O7" r:id="rId10"/>
    <hyperlink xmlns:r="http://schemas.openxmlformats.org/officeDocument/2006/relationships" ref="O8" r:id="rId11"/>
    <hyperlink xmlns:r="http://schemas.openxmlformats.org/officeDocument/2006/relationships" ref="O9" r:id="rId12"/>
    <hyperlink xmlns:r="http://schemas.openxmlformats.org/officeDocument/2006/relationships" ref="O10" r:id="rId13"/>
    <hyperlink xmlns:r="http://schemas.openxmlformats.org/officeDocument/2006/relationships" ref="O11" r:id="rId14"/>
    <hyperlink xmlns:r="http://schemas.openxmlformats.org/officeDocument/2006/relationships" ref="O12" r:id="rId15"/>
    <hyperlink xmlns:r="http://schemas.openxmlformats.org/officeDocument/2006/relationships" ref="O13" r:id="rId16"/>
    <hyperlink xmlns:r="http://schemas.openxmlformats.org/officeDocument/2006/relationships" ref="O14" r:id="rId17"/>
    <hyperlink xmlns:r="http://schemas.openxmlformats.org/officeDocument/2006/relationships" ref="O15" r:id="rId18"/>
    <hyperlink xmlns:r="http://schemas.openxmlformats.org/officeDocument/2006/relationships" ref="O16" r:id="rId19"/>
    <hyperlink xmlns:r="http://schemas.openxmlformats.org/officeDocument/2006/relationships" ref="O17" r:id="rId20"/>
    <hyperlink xmlns:r="http://schemas.openxmlformats.org/officeDocument/2006/relationships" ref="O18" r:id="rId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Chỉ số</t>
        </is>
      </c>
      <c r="B1" s="1" t="inlineStr">
        <is>
          <t>Giá trị</t>
        </is>
      </c>
    </row>
    <row r="2">
      <c r="A2" s="6" t="inlineStr">
        <is>
          <t>Tổng số hồ sơ (Hà Nội)</t>
        </is>
      </c>
      <c r="B2" s="6">
        <f>COUNTA('Ứng viên'!D2:D18)</f>
        <v/>
      </c>
    </row>
    <row r="3">
      <c r="A3" s="6" t="inlineStr">
        <is>
          <t>Ứng viên chính (có tín hiệu tìm việc)</t>
        </is>
      </c>
      <c r="B3" s="6">
        <f>COUNTIF('Ứng viên'!B2:B18,"Chính")</f>
        <v/>
      </c>
    </row>
    <row r="4">
      <c r="A4" s="6" t="inlineStr">
        <is>
          <t>Open to Work confirmed</t>
        </is>
      </c>
      <c r="B4" s="6">
        <f>COUNTIF('Ứng viên'!I2:I18,"confirmed")</f>
        <v/>
      </c>
    </row>
    <row r="5">
      <c r="A5" s="6" t="inlineStr">
        <is>
          <t>Open to Work probable</t>
        </is>
      </c>
      <c r="B5" s="6">
        <f>COUNTIF('Ứng viên'!I2:I18,"probable")</f>
        <v/>
      </c>
    </row>
    <row r="6">
      <c r="A6" s="6" t="inlineStr">
        <is>
          <t>Danh sách theo dõi</t>
        </is>
      </c>
      <c r="B6" s="6">
        <f>COUNTIF('Ứng viên'!B2:B18,"Theo dõi")</f>
        <v/>
      </c>
    </row>
    <row r="7">
      <c r="A7" s="6" t="inlineStr">
        <is>
          <t>Đã liên hệ</t>
        </is>
      </c>
      <c r="B7" s="6">
        <f>COUNTIF('Ứng viên'!P2:P18,"Đã liên hệ")</f>
        <v/>
      </c>
    </row>
    <row r="8">
      <c r="A8" s="6" t="inlineStr">
        <is>
          <t>Chưa liên hệ</t>
        </is>
      </c>
      <c r="B8" s="6">
        <f>COUNTIF('Ứng viên'!P2:P18,"Chưa liên hệ")</f>
        <v/>
      </c>
    </row>
    <row r="9">
      <c r="A9" s="6" t="inlineStr">
        <is>
          <t>Tỷ lệ đã liên hệ</t>
        </is>
      </c>
      <c r="B9" s="7">
        <f>IFERROR(B7/B2,0)</f>
        <v/>
      </c>
    </row>
    <row r="10">
      <c r="A10" s="6" t="inlineStr">
        <is>
          <t>Phản hồi quan tâm</t>
        </is>
      </c>
      <c r="B10" s="6">
        <f>COUNTIF('Ứng viên'!S2:S18,"Quan tâm")</f>
        <v/>
      </c>
    </row>
    <row r="11">
      <c r="A11" s="6" t="inlineStr">
        <is>
          <t>Hẹn phỏng vấn</t>
        </is>
      </c>
      <c r="B11" s="6">
        <f>COUNTIF('Ứng viên'!S2:S18,"Hẹn phỏng vấn")</f>
        <v/>
      </c>
    </row>
    <row r="12">
      <c r="A12" s="6" t="inlineStr">
        <is>
          <t>Trạng thái: Đang tìm việc</t>
        </is>
      </c>
      <c r="B12" s="6">
        <f>COUNTIF('Ứng viên'!T2:T18,"Đang tìm việc")</f>
        <v/>
      </c>
    </row>
    <row r="13">
      <c r="A13" s="6" t="inlineStr">
        <is>
          <t>Trạng thái: Chưa xác minh</t>
        </is>
      </c>
      <c r="B13" s="6">
        <f>COUNTIF('Ứng viên'!T2:T18,"Chưa xác minh")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55" customWidth="1" min="2" max="2"/>
    <col width="70" customWidth="1" min="3" max="3"/>
  </cols>
  <sheetData>
    <row r="1">
      <c r="A1" s="1" t="inlineStr">
        <is>
          <t>Họ tên</t>
        </is>
      </c>
      <c r="B1" s="1" t="inlineStr">
        <is>
          <t>LinkedIn</t>
        </is>
      </c>
      <c r="C1" s="1" t="inlineStr">
        <is>
          <t>Lý do loại</t>
        </is>
      </c>
    </row>
    <row r="2">
      <c r="A2" s="2" t="inlineStr">
        <is>
          <t>Tran Huynh Bao</t>
        </is>
      </c>
      <c r="B2" s="3" t="inlineStr">
        <is>
          <t>https://vn.linkedin.com/in/tran-huynh-bao-54754a406</t>
        </is>
      </c>
      <c r="C2" s="2" t="inlineStr">
        <is>
          <t>Open to Work nhưng mới tốt nghiệp ngành Air Traffic Management – chưa đủ kinh nghiệm cho cấp Giám đốc dự án</t>
        </is>
      </c>
    </row>
    <row r="3">
      <c r="A3" s="2" t="inlineStr">
        <is>
          <t>Tess Do</t>
        </is>
      </c>
      <c r="B3" s="3" t="inlineStr">
        <is>
          <t>https://vn.linkedin.com/in/tess-do</t>
        </is>
      </c>
      <c r="C3" s="2" t="inlineStr">
        <is>
          <t>'Looking for new businesses' là mô tả công việc, không phải tín hiệu tìm việc; mảng thuê chuyến bay</t>
        </is>
      </c>
    </row>
    <row r="4">
      <c r="A4" s="2" t="inlineStr">
        <is>
          <t>Hien (Hayley) Nguyen</t>
        </is>
      </c>
      <c r="B4" s="3" t="inlineStr">
        <is>
          <t>https://www.linkedin.com/in/hien-hayley-nguyen-46920b127</t>
        </is>
      </c>
      <c r="C4" s="2" t="inlineStr">
        <is>
          <t>Sales hàng hóa hàng không (cargo), không liên quan thiết bị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8" t="inlineStr">
        <is>
          <t>Cách dùng</t>
        </is>
      </c>
      <c r="B1" s="9" t="inlineStr"/>
    </row>
    <row r="2">
      <c r="A2" s="9" t="inlineStr">
        <is>
          <t>Ô nền vàng (cột P–U)</t>
        </is>
      </c>
      <c r="B2" s="9" t="inlineStr">
        <is>
          <t>Bạn tự cập nhật, chọn từ danh sách thả xuống</t>
        </is>
      </c>
    </row>
    <row r="3">
      <c r="A3" s="9" t="inlineStr">
        <is>
          <t>Ví dụ 1 dòng</t>
        </is>
      </c>
      <c r="B3" s="9" t="inlineStr">
        <is>
          <t>Đã liên hệ | 29/09/2026 | LinkedIn InMail | Quan tâm | Đang tìm việc | Hẹn gọi 01/10</t>
        </is>
      </c>
    </row>
    <row r="4">
      <c r="A4" s="9" t="inlineStr">
        <is>
          <t>Phạm vi</t>
        </is>
      </c>
      <c r="B4" s="9" t="inlineStr">
        <is>
          <t>Giám đốc dự án Thiết bị quản lý bay (Project Sales Manager – ATM Systems; khách hàng VATM, quốc phòng, sân bay) – Hà Nội. Địa điểm ghi 'Chưa xác minh' = cần hỏi lại ứng viên</t>
        </is>
      </c>
    </row>
    <row r="5">
      <c r="A5" s="9" t="inlineStr">
        <is>
          <t>Nguồn</t>
        </is>
      </c>
      <c r="B5" s="9" t="inlineStr">
        <is>
          <t>Apify harvestapi/linkedin-profile-search (Full, không email search) + apify/google-search-scraper trên hồ sơ/bài đăng LinkedIn công khai; kiểm tra 09/10/2026; không đăng nhập</t>
        </is>
      </c>
    </row>
    <row r="6">
      <c r="A6" s="9" t="inlineStr">
        <is>
          <t>Open to Work</t>
        </is>
      </c>
      <c r="B6" s="9" t="inlineStr">
        <is>
          <t>confirmed = cờ openToWork=true hoặc headline ghi rõ đang tìm việc; probable = có tín hiệu nhưng chưa rõ ràng hoặc đã cũ; unverified = chưa thấy tín hiệu</t>
        </is>
      </c>
    </row>
    <row r="7">
      <c r="A7" s="9" t="inlineStr">
        <is>
          <t>Chấm điểm (100)</t>
        </is>
      </c>
      <c r="B7" s="9" t="inlineStr">
        <is>
          <t>OTW 20 · đúng ngành 25 · kinh nghiệm kinh doanh dự án/đấu thầu 25 · cấp bậc &amp; số năm 10 · ở Hà Nội 10 · chuyên ngành kỹ thuật 10. Thiếu dữ liệu = 0 điểm</t>
        </is>
      </c>
    </row>
    <row r="8">
      <c r="A8" s="9" t="inlineStr">
        <is>
          <t>Giới tính</t>
        </is>
      </c>
      <c r="B8" s="9" t="inlineStr">
        <is>
          <t>Không dùng tuổi, giới tính hay đặc điểm cá nhân để lọc hoặc chấm điểm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2026-10-09T07:37:59Z</dcterms:created>
  <dcterms:modified xmlns:dcterms="http://purl.org/dc/terms/" xmlns:xsi="http://www.w3.org/2001/XMLSchema-instance" xsi:type="dcterms:W3CDTF">2026-10-09T07:37:59Z</dcterms:modified>
</cp:coreProperties>
</file>