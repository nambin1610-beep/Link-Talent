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Ứng viê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Đã loại" sheetId="3" state="visible" r:id="rId3"/>
    <sheet xmlns:r="http://schemas.openxmlformats.org/officeDocument/2006/relationships" name="Hướng dẫn" sheetId="4" state="visible" r:id="rId4"/>
  </sheets>
  <definedNames>
    <definedName name="_xlnm._FilterDatabase" localSheetId="0" hidden="1">'Ứng viên'!$A$1:$U$11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linkedin.com/in/thuan-nguyen-a479a6190" TargetMode="External" Id="rId1"/><Relationship Type="http://schemas.openxmlformats.org/officeDocument/2006/relationships/hyperlink" Target="https://vn.linkedin.com/in/thuan-nguyen-a479a6190" TargetMode="External" Id="rId2"/><Relationship Type="http://schemas.openxmlformats.org/officeDocument/2006/relationships/hyperlink" Target="https://www.linkedin.com/in/vankhuatvan" TargetMode="External" Id="rId3"/><Relationship Type="http://schemas.openxmlformats.org/officeDocument/2006/relationships/hyperlink" Target="https://www.linkedin.com/in/t&#7889;ng-c&#432;&#7901;ng-nguy&#7877;n-482a60169" TargetMode="External" Id="rId4"/><Relationship Type="http://schemas.openxmlformats.org/officeDocument/2006/relationships/hyperlink" Target="https://vn.linkedin.com/in/%C4%91%E1%BB%A9c-smarthome-9a0282281" TargetMode="External" Id="rId5"/><Relationship Type="http://schemas.openxmlformats.org/officeDocument/2006/relationships/hyperlink" Target="https://vn.linkedin.com/in/manh-ha-27246520b" TargetMode="External" Id="rId6"/><Relationship Type="http://schemas.openxmlformats.org/officeDocument/2006/relationships/hyperlink" Target="https://www.linkedin.com/in/viet-phung-dinh-abb222b2" TargetMode="External" Id="rId7"/><Relationship Type="http://schemas.openxmlformats.org/officeDocument/2006/relationships/hyperlink" Target="https://vn.linkedin.com/in/stevenlee84" TargetMode="External" Id="rId8"/><Relationship Type="http://schemas.openxmlformats.org/officeDocument/2006/relationships/hyperlink" Target="https://www.linkedin.com/posts/nguyen-khanh-huyen_cv-activity-7124281202257137664-Vt4i" TargetMode="External" Id="rId9"/><Relationship Type="http://schemas.openxmlformats.org/officeDocument/2006/relationships/hyperlink" Target="https://vn.linkedin.com/in/mpsolution" TargetMode="External" Id="rId10"/><Relationship Type="http://schemas.openxmlformats.org/officeDocument/2006/relationships/hyperlink" Target="https://vn.linkedin.com/in/tung-nguyen-viet-71899736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vn.linkedin.com/in/y%E1%BA%BFn-nguy%E1%BB%85n-65b1a225b" TargetMode="External" Id="rId1"/><Relationship Type="http://schemas.openxmlformats.org/officeDocument/2006/relationships/hyperlink" Target="https://vn.linkedin.com/in/nguyen-quoc-b15a6521" TargetMode="External" Id="rId2"/><Relationship Type="http://schemas.openxmlformats.org/officeDocument/2006/relationships/hyperlink" Target="https://vn.linkedin.com/posts/samsamheadhunter_opentowork-technicalsales-architecturallighting-activity-7496383225007648768-rTf-" TargetMode="External" Id="rId3"/><Relationship Type="http://schemas.openxmlformats.org/officeDocument/2006/relationships/hyperlink" Target="https://vn.linkedin.com/in/manh-ha-a0262a118" TargetMode="External" Id="rId4"/><Relationship Type="http://schemas.openxmlformats.org/officeDocument/2006/relationships/hyperlink" Target="https://vn.linkedin.com/in/t%C3%BA-nguy%E1%BB%85n-xu%C3%A2n-bb39751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đèn / SmartHome / thiết bị điện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SH-001</t>
        </is>
      </c>
      <c r="D2" s="2" t="inlineStr">
        <is>
          <t>Thuan Nguyen</t>
        </is>
      </c>
      <c r="E2" s="2" t="inlineStr">
        <is>
          <t>MEP Manager / Project Manager</t>
        </is>
      </c>
      <c r="F2" s="2" t="inlineStr">
        <is>
          <t>(đang tìm việc)</t>
        </is>
      </c>
      <c r="G2" s="2" t="inlineStr">
        <is>
          <t>Chưa xác minh</t>
        </is>
      </c>
      <c r="H2" s="2" t="inlineStr">
        <is>
          <t>18 năm dự án MEP (MEP Manager, PM, Senior Engineer) cho nhà thầu Nhật, Singapore – quen chủ đầu tư/nhà thầu tòa nhà</t>
        </is>
      </c>
      <c r="I2" s="2" t="inlineStr">
        <is>
          <t>probable</t>
        </is>
      </c>
      <c r="J2" s="2" t="inlineStr">
        <is>
          <t>không rõ</t>
        </is>
      </c>
      <c r="K2" s="2" t="inlineStr">
        <is>
          <t>Headline LinkedIn: "Looking for MEP Opportunity"</t>
        </is>
      </c>
      <c r="L2" s="3" t="inlineStr">
        <is>
          <t>https://vn.linkedin.com/in/thuan-nguyen-a479a6190</t>
        </is>
      </c>
      <c r="M2" s="2" t="n">
        <v>45</v>
      </c>
      <c r="N2" s="2" t="inlineStr">
        <is>
          <t>Thiên về quản lý thi công MEP, chưa thấy kinh nghiệm bán hàng/đấu thầu; Chưa rõ kinh nghiệm đèn/SmartHome; Địa điểm chưa xác minh</t>
        </is>
      </c>
      <c r="O2" s="3" t="inlineStr">
        <is>
          <t>https://vn.linkedin.com/in/thuan-nguyen-a479a6190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Theo dõi</t>
        </is>
      </c>
      <c r="C3" s="2" t="inlineStr">
        <is>
          <t>SH-W01</t>
        </is>
      </c>
      <c r="D3" s="2" t="inlineStr">
        <is>
          <t>Van Khuat Van</t>
        </is>
      </c>
      <c r="E3" s="2" t="inlineStr">
        <is>
          <t>Business Development Manager</t>
        </is>
      </c>
      <c r="F3" s="2" t="inlineStr">
        <is>
          <t>TP-Link Vietnam</t>
        </is>
      </c>
      <c r="G3" s="2" t="inlineStr">
        <is>
          <t>Hanoi Capital Region</t>
        </is>
      </c>
      <c r="H3" s="2" t="inlineStr">
        <is>
          <t>Nguyên Senior Account Manager HDL Engineering (SmartHome/KNX, 2021–2022); Account &amp; Presales Manager U&amp;ME (2011–2019) – sát JD</t>
        </is>
      </c>
      <c r="I3" s="2" t="inlineStr">
        <is>
          <t>unverified</t>
        </is>
      </c>
      <c r="J3" s="2" t="inlineStr"/>
      <c r="K3" s="2" t="inlineStr">
        <is>
          <t>Chưa thấy tín hiệu tìm việc công khai</t>
        </is>
      </c>
      <c r="L3" s="2" t="inlineStr"/>
      <c r="M3" s="2" t="n"/>
      <c r="N3" s="2" t="inlineStr">
        <is>
          <t>Cần hỏi trực tiếp nhu cầu chuyển việc</t>
        </is>
      </c>
      <c r="O3" s="3" t="inlineStr">
        <is>
          <t>https://www.linkedin.com/in/vankhuatvan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Theo dõi</t>
        </is>
      </c>
      <c r="C4" s="2" t="inlineStr">
        <is>
          <t>SH-W02</t>
        </is>
      </c>
      <c r="D4" s="2" t="inlineStr">
        <is>
          <t>Tống Cường Nguyễn</t>
        </is>
      </c>
      <c r="E4" s="2" t="inlineStr">
        <is>
          <t>Business Development Manager</t>
        </is>
      </c>
      <c r="F4" s="2" t="inlineStr">
        <is>
          <t>Comelit South East Asia (chuông hình/an ninh tòa nhà)</t>
        </is>
      </c>
      <c r="G4" s="2" t="inlineStr">
        <is>
          <t>Vietnam</t>
        </is>
      </c>
      <c r="H4" s="2" t="inlineStr">
        <is>
          <t>Key Account Manager Smart Hospitality Displays – Samsung (khách sạn); B2B Sales Manager Uniview (camera) – đúng phân khúc khách sạn/resort</t>
        </is>
      </c>
      <c r="I4" s="2" t="inlineStr">
        <is>
          <t>unverified</t>
        </is>
      </c>
      <c r="J4" s="2" t="inlineStr"/>
      <c r="K4" s="2" t="inlineStr">
        <is>
          <t>Chưa thấy tín hiệu tìm việc công khai</t>
        </is>
      </c>
      <c r="L4" s="2" t="inlineStr"/>
      <c r="M4" s="2" t="n"/>
      <c r="N4" s="2" t="inlineStr">
        <is>
          <t>Cần hỏi trực tiếp nhu cầu chuyển việc</t>
        </is>
      </c>
      <c r="O4" s="3" t="inlineStr">
        <is>
          <t>https://www.linkedin.com/in/tống-cường-nguyễn-482a60169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Theo dõi</t>
        </is>
      </c>
      <c r="C5" s="2" t="inlineStr">
        <is>
          <t>SH-W03</t>
        </is>
      </c>
      <c r="D5" s="2" t="inlineStr">
        <is>
          <t>Đức SmartHome</t>
        </is>
      </c>
      <c r="E5" s="2" t="inlineStr">
        <is>
          <t>Smarthome Sales Engineer</t>
        </is>
      </c>
      <c r="F5" s="2" t="inlineStr">
        <is>
          <t>(chưa rõ)</t>
        </is>
      </c>
      <c r="G5" s="2" t="inlineStr">
        <is>
          <t>Chưa xác minh</t>
        </is>
      </c>
      <c r="H5" s="2" t="inlineStr">
        <is>
          <t>3+ năm trong ngành SmartHome</t>
        </is>
      </c>
      <c r="I5" s="2" t="inlineStr">
        <is>
          <t>unverified</t>
        </is>
      </c>
      <c r="J5" s="2" t="inlineStr"/>
      <c r="K5" s="2" t="inlineStr">
        <is>
          <t>Chưa thấy tín hiệu tìm việc công khai</t>
        </is>
      </c>
      <c r="L5" s="2" t="inlineStr"/>
      <c r="M5" s="2" t="n"/>
      <c r="N5" s="2" t="inlineStr">
        <is>
          <t>Cần hỏi trực tiếp nhu cầu chuyển việc</t>
        </is>
      </c>
      <c r="O5" s="3" t="inlineStr">
        <is>
          <t>https://vn.linkedin.com/in/%C4%91%E1%BB%A9c-smarthome-9a0282281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Theo dõi</t>
        </is>
      </c>
      <c r="C6" s="2" t="inlineStr">
        <is>
          <t>SH-W04</t>
        </is>
      </c>
      <c r="D6" s="2" t="inlineStr">
        <is>
          <t>Manh Ha</t>
        </is>
      </c>
      <c r="E6" s="2" t="inlineStr">
        <is>
          <t>Project Sales Manager (M&amp;E)</t>
        </is>
      </c>
      <c r="F6" s="2" t="inlineStr">
        <is>
          <t>(chưa rõ)</t>
        </is>
      </c>
      <c r="G6" s="2" t="inlineStr">
        <is>
          <t>Chưa xác minh</t>
        </is>
      </c>
      <c r="H6" s="2" t="inlineStr">
        <is>
          <t>12+ năm project sales thiết bị điện (busway, tủ LV/MV, máy biến áp) cho dự án M&amp;E</t>
        </is>
      </c>
      <c r="I6" s="2" t="inlineStr">
        <is>
          <t>unverified</t>
        </is>
      </c>
      <c r="J6" s="2" t="inlineStr"/>
      <c r="K6" s="2" t="inlineStr">
        <is>
          <t>Chưa thấy tín hiệu tìm việc công khai</t>
        </is>
      </c>
      <c r="L6" s="2" t="inlineStr"/>
      <c r="M6" s="2" t="n"/>
      <c r="N6" s="2" t="inlineStr">
        <is>
          <t>Cần hỏi trực tiếp nhu cầu chuyển việc</t>
        </is>
      </c>
      <c r="O6" s="3" t="inlineStr">
        <is>
          <t>https://vn.linkedin.com/in/manh-ha-27246520b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Theo dõi</t>
        </is>
      </c>
      <c r="C7" s="2" t="inlineStr">
        <is>
          <t>SH-W05</t>
        </is>
      </c>
      <c r="D7" s="2" t="inlineStr">
        <is>
          <t>Viet Phung Dinh</t>
        </is>
      </c>
      <c r="E7" s="2" t="inlineStr">
        <is>
          <t>Business Development Manager</t>
        </is>
      </c>
      <c r="F7" s="2" t="inlineStr">
        <is>
          <t>Dahua Technology Vietnam (camera)</t>
        </is>
      </c>
      <c r="G7" s="2" t="inlineStr">
        <is>
          <t>Hanoi Capital Region</t>
        </is>
      </c>
      <c r="H7" s="2" t="inlineStr">
        <is>
          <t>Nguyên Solar Sales Manager Preformed Line Products; Sales Manager HLS Energy</t>
        </is>
      </c>
      <c r="I7" s="2" t="inlineStr">
        <is>
          <t>unverified</t>
        </is>
      </c>
      <c r="J7" s="2" t="inlineStr"/>
      <c r="K7" s="2" t="inlineStr">
        <is>
          <t>Chưa thấy tín hiệu tìm việc công khai</t>
        </is>
      </c>
      <c r="L7" s="2" t="inlineStr"/>
      <c r="M7" s="2" t="n"/>
      <c r="N7" s="2" t="inlineStr">
        <is>
          <t>Cần hỏi trực tiếp nhu cầu chuyển việc</t>
        </is>
      </c>
      <c r="O7" s="3" t="inlineStr">
        <is>
          <t>https://www.linkedin.com/in/viet-phung-dinh-abb222b2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Theo dõi</t>
        </is>
      </c>
      <c r="C8" s="2" t="inlineStr">
        <is>
          <t>SH-W06</t>
        </is>
      </c>
      <c r="D8" s="2" t="inlineStr">
        <is>
          <t>Ngoc Khanh Le</t>
        </is>
      </c>
      <c r="E8" s="2" t="inlineStr">
        <is>
          <t>Country Sales Director (B2B)</t>
        </is>
      </c>
      <c r="F8" s="2" t="inlineStr">
        <is>
          <t>AQUA Electrical Appliances Vietnam</t>
        </is>
      </c>
      <c r="G8" s="2" t="inlineStr">
        <is>
          <t>Hanoi</t>
        </is>
      </c>
      <c r="H8" s="2" t="inlineStr">
        <is>
          <t>Headline: Project Sales Director, BD Director, Independent consultant – HVACR, Construction</t>
        </is>
      </c>
      <c r="I8" s="2" t="inlineStr">
        <is>
          <t>unverified</t>
        </is>
      </c>
      <c r="J8" s="2" t="inlineStr"/>
      <c r="K8" s="2" t="inlineStr">
        <is>
          <t>Chưa thấy tín hiệu tìm việc công khai</t>
        </is>
      </c>
      <c r="L8" s="2" t="inlineStr"/>
      <c r="M8" s="2" t="n"/>
      <c r="N8" s="2" t="inlineStr">
        <is>
          <t>Cần hỏi trực tiếp nhu cầu chuyển việc</t>
        </is>
      </c>
      <c r="O8" s="3" t="inlineStr">
        <is>
          <t>https://vn.linkedin.com/in/stevenlee84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Theo dõi</t>
        </is>
      </c>
      <c r="C9" s="2" t="inlineStr">
        <is>
          <t>SH-W07</t>
        </is>
      </c>
      <c r="D9" s="2" t="inlineStr">
        <is>
          <t>Huyền Nguyễn Khánh</t>
        </is>
      </c>
      <c r="E9" s="2" t="inlineStr">
        <is>
          <t>Sales / tư vấn thiết kế chiếu sáng</t>
        </is>
      </c>
      <c r="F9" s="2" t="inlineStr">
        <is>
          <t>(chưa rõ)</t>
        </is>
      </c>
      <c r="G9" s="2" t="inlineStr">
        <is>
          <t>Chưa xác minh</t>
        </is>
      </c>
      <c r="H9" s="2" t="inlineStr">
        <is>
          <t>Bài CV tìm việc ngày 29/10/2023 (đã hơn 12 tháng): sales, tư vấn và thiết kế chiếu sáng, thiết bị điện, lead dự án – cần hỏi lại tình trạng</t>
        </is>
      </c>
      <c r="I9" s="2" t="inlineStr">
        <is>
          <t>unverified</t>
        </is>
      </c>
      <c r="J9" s="2" t="inlineStr"/>
      <c r="K9" s="2" t="inlineStr">
        <is>
          <t>Chưa thấy tín hiệu tìm việc công khai</t>
        </is>
      </c>
      <c r="L9" s="2" t="inlineStr"/>
      <c r="M9" s="2" t="n"/>
      <c r="N9" s="2" t="inlineStr">
        <is>
          <t>Cần hỏi trực tiếp nhu cầu chuyển việc</t>
        </is>
      </c>
      <c r="O9" s="3" t="inlineStr">
        <is>
          <t>https://www.linkedin.com/posts/nguyen-khanh-huyen_cv-activity-7124281202257137664-Vt4i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Theo dõi</t>
        </is>
      </c>
      <c r="C10" s="2" t="inlineStr">
        <is>
          <t>SH-W08</t>
        </is>
      </c>
      <c r="D10" s="2" t="inlineStr">
        <is>
          <t>Phan Minh</t>
        </is>
      </c>
      <c r="E10" s="2" t="inlineStr">
        <is>
          <t>Technical Specialist</t>
        </is>
      </c>
      <c r="F10" s="2" t="inlineStr">
        <is>
          <t>(chưa rõ)</t>
        </is>
      </c>
      <c r="G10" s="2" t="inlineStr">
        <is>
          <t>Chưa xác minh</t>
        </is>
      </c>
      <c r="H10" s="2" t="inlineStr">
        <is>
          <t>Thiết kế hệ thống an ninh tích hợp: CCTV, báo trộm, báo cháy, SmartHome – thiên kỹ thuật</t>
        </is>
      </c>
      <c r="I10" s="2" t="inlineStr">
        <is>
          <t>unverified</t>
        </is>
      </c>
      <c r="J10" s="2" t="inlineStr"/>
      <c r="K10" s="2" t="inlineStr">
        <is>
          <t>Chưa thấy tín hiệu tìm việc công khai</t>
        </is>
      </c>
      <c r="L10" s="2" t="inlineStr"/>
      <c r="M10" s="2" t="n"/>
      <c r="N10" s="2" t="inlineStr">
        <is>
          <t>Cần hỏi trực tiếp nhu cầu chuyển việc</t>
        </is>
      </c>
      <c r="O10" s="3" t="inlineStr">
        <is>
          <t>https://vn.linkedin.com/in/mpsolution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Theo dõi</t>
        </is>
      </c>
      <c r="C11" s="2" t="inlineStr">
        <is>
          <t>SH-W09</t>
        </is>
      </c>
      <c r="D11" s="2" t="inlineStr">
        <is>
          <t>TUNG NGUYEN VIET</t>
        </is>
      </c>
      <c r="E11" s="2" t="inlineStr">
        <is>
          <t>Country Specification Sales Manager</t>
        </is>
      </c>
      <c r="F11" s="2" t="inlineStr">
        <is>
          <t>Saint-Gobain Vietnam</t>
        </is>
      </c>
      <c r="G11" s="2" t="inlineStr">
        <is>
          <t>Vietnam</t>
        </is>
      </c>
      <c r="H11" s="2" t="inlineStr">
        <is>
          <t>Specification sales vật liệu cao cấp, làm việc với kiến trúc sư/tư vấn thiết kế</t>
        </is>
      </c>
      <c r="I11" s="2" t="inlineStr">
        <is>
          <t>unverified</t>
        </is>
      </c>
      <c r="J11" s="2" t="inlineStr"/>
      <c r="K11" s="2" t="inlineStr">
        <is>
          <t>Chưa thấy tín hiệu tìm việc công khai</t>
        </is>
      </c>
      <c r="L11" s="2" t="inlineStr"/>
      <c r="M11" s="2" t="n"/>
      <c r="N11" s="2" t="inlineStr">
        <is>
          <t>Cần hỏi trực tiếp nhu cầu chuyển việc</t>
        </is>
      </c>
      <c r="O11" s="3" t="inlineStr">
        <is>
          <t>https://vn.linkedin.com/in/tung-nguyen-viet-71899736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</sheetData>
  <autoFilter ref="A1:U11"/>
  <conditionalFormatting sqref="P2:P11">
    <cfRule type="cellIs" priority="1" operator="equal" dxfId="0">
      <formula>"Đã liên hệ"</formula>
    </cfRule>
  </conditionalFormatting>
  <conditionalFormatting sqref="T2:T11">
    <cfRule type="cellIs" priority="2" operator="equal" dxfId="0">
      <formula>"Đang tìm việc"</formula>
    </cfRule>
  </conditionalFormatting>
  <dataValidations count="5">
    <dataValidation sqref="P2:P11" showDropDown="0" showInputMessage="0" showErrorMessage="0" allowBlank="1" type="list">
      <formula1>"Chưa liên hệ,Đã liên hệ,Không liên hệ được"</formula1>
    </dataValidation>
    <dataValidation sqref="R2:R11" showDropDown="0" showInputMessage="0" showErrorMessage="0" allowBlank="1" type="list">
      <formula1>"LinkedIn InMail,LinkedIn kết nối,Email,Điện thoại/Zalo,Giới thiệu,Khác"</formula1>
    </dataValidation>
    <dataValidation sqref="S2:S11" showDropDown="0" showInputMessage="0" showErrorMessage="0" allowBlank="1" type="list">
      <formula1>"Chưa phản hồi,Quan tâm,Không quan tâm,Hẹn phỏng vấn,Từ chối"</formula1>
    </dataValidation>
    <dataValidation sqref="T2:T11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11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O3" r:id="rId3"/>
    <hyperlink xmlns:r="http://schemas.openxmlformats.org/officeDocument/2006/relationships" ref="O4" r:id="rId4"/>
    <hyperlink xmlns:r="http://schemas.openxmlformats.org/officeDocument/2006/relationships" ref="O5" r:id="rId5"/>
    <hyperlink xmlns:r="http://schemas.openxmlformats.org/officeDocument/2006/relationships" ref="O6" r:id="rId6"/>
    <hyperlink xmlns:r="http://schemas.openxmlformats.org/officeDocument/2006/relationships" ref="O7" r:id="rId7"/>
    <hyperlink xmlns:r="http://schemas.openxmlformats.org/officeDocument/2006/relationships" ref="O8" r:id="rId8"/>
    <hyperlink xmlns:r="http://schemas.openxmlformats.org/officeDocument/2006/relationships" ref="O9" r:id="rId9"/>
    <hyperlink xmlns:r="http://schemas.openxmlformats.org/officeDocument/2006/relationships" ref="O10" r:id="rId10"/>
    <hyperlink xmlns:r="http://schemas.openxmlformats.org/officeDocument/2006/relationships" ref="O11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(Hà Nội)</t>
        </is>
      </c>
      <c r="B2" s="6">
        <f>COUNTA('Ứng viên'!D2:D11)</f>
        <v/>
      </c>
    </row>
    <row r="3">
      <c r="A3" s="6" t="inlineStr">
        <is>
          <t>Ứng viên chính (có tín hiệu tìm việc)</t>
        </is>
      </c>
      <c r="B3" s="6">
        <f>COUNTIF('Ứng viên'!B2:B11,"Chính")</f>
        <v/>
      </c>
    </row>
    <row r="4">
      <c r="A4" s="6" t="inlineStr">
        <is>
          <t>Open to Work confirmed</t>
        </is>
      </c>
      <c r="B4" s="6">
        <f>COUNTIF('Ứng viên'!I2:I11,"confirmed")</f>
        <v/>
      </c>
    </row>
    <row r="5">
      <c r="A5" s="6" t="inlineStr">
        <is>
          <t>Open to Work probable</t>
        </is>
      </c>
      <c r="B5" s="6">
        <f>COUNTIF('Ứng viên'!I2:I11,"probable")</f>
        <v/>
      </c>
    </row>
    <row r="6">
      <c r="A6" s="6" t="inlineStr">
        <is>
          <t>Danh sách theo dõi</t>
        </is>
      </c>
      <c r="B6" s="6">
        <f>COUNTIF('Ứng viên'!B2:B11,"Theo dõi")</f>
        <v/>
      </c>
    </row>
    <row r="7">
      <c r="A7" s="6" t="inlineStr">
        <is>
          <t>Đã liên hệ</t>
        </is>
      </c>
      <c r="B7" s="6">
        <f>COUNTIF('Ứng viên'!P2:P11,"Đã liên hệ")</f>
        <v/>
      </c>
    </row>
    <row r="8">
      <c r="A8" s="6" t="inlineStr">
        <is>
          <t>Chưa liên hệ</t>
        </is>
      </c>
      <c r="B8" s="6">
        <f>COUNTIF('Ứng viên'!P2:P11,"Chưa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viên'!S2:S11,"Quan tâm")</f>
        <v/>
      </c>
    </row>
    <row r="11">
      <c r="A11" s="6" t="inlineStr">
        <is>
          <t>Hẹn phỏng vấn</t>
        </is>
      </c>
      <c r="B11" s="6">
        <f>COUNTIF('Ứng viên'!S2:S11,"Hẹn phỏng vấn")</f>
        <v/>
      </c>
    </row>
    <row r="12">
      <c r="A12" s="6" t="inlineStr">
        <is>
          <t>Trạng thái: Đang tìm việc</t>
        </is>
      </c>
      <c r="B12" s="6">
        <f>COUNTIF('Ứng viên'!T2:T11,"Đang tìm việc")</f>
        <v/>
      </c>
    </row>
    <row r="13">
      <c r="A13" s="6" t="inlineStr">
        <is>
          <t>Trạng thái: Chưa xác minh</t>
        </is>
      </c>
      <c r="B13" s="6">
        <f>COUNTIF('Ứng viên'!T2:T11,"Chưa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Yến Nguyễn</t>
        </is>
      </c>
      <c r="B2" s="3" t="inlineStr">
        <is>
          <t>https://vn.linkedin.com/in/y%E1%BA%BFn-nguy%E1%BB%85n-65b1a225b</t>
        </is>
      </c>
      <c r="C2" s="2" t="inlineStr">
        <is>
          <t>Headline 'Looking for Smarthome Sales Manager in Ha Noi' là tin tuyển dụng (người đăng tuyển), không phải ứng viên</t>
        </is>
      </c>
    </row>
    <row r="3">
      <c r="A3" s="2" t="inlineStr">
        <is>
          <t>Nguyen Quoc</t>
        </is>
      </c>
      <c r="B3" s="3" t="inlineStr">
        <is>
          <t>https://vn.linkedin.com/in/nguyen-quoc-b15a6521</t>
        </is>
      </c>
      <c r="C3" s="2" t="inlineStr">
        <is>
          <t>'Looking for new partner' – tìm đối tác kinh doanh (lighting design), không tìm việc</t>
        </is>
      </c>
    </row>
    <row r="4">
      <c r="A4" s="2" t="inlineStr">
        <is>
          <t>Sam Sam (headhunter)</t>
        </is>
      </c>
      <c r="B4" s="3" t="inlineStr">
        <is>
          <t>https://vn.linkedin.com/posts/samsamheadhunter_opentowork-technicalsales-architecturallighting-activity-7496383225007648768-rTf-</t>
        </is>
      </c>
      <c r="C4" s="2" t="inlineStr">
        <is>
          <t>Bài tuyển dụng của headhunter dùng hashtag #opentowork</t>
        </is>
      </c>
    </row>
    <row r="5">
      <c r="A5" s="2" t="inlineStr">
        <is>
          <t>Manh Ha (manh-ha-a0262a118)</t>
        </is>
      </c>
      <c r="B5" s="3" t="inlineStr">
        <is>
          <t>https://vn.linkedin.com/in/manh-ha-a0262a118</t>
        </is>
      </c>
      <c r="C5" s="2" t="inlineStr">
        <is>
          <t>Headline 'Open to work', Hà Nội, ĐH Bách khoa nhưng không có thông tin ngành nghề – không đủ dữ liệu để đánh giá; có thể hỏi thêm</t>
        </is>
      </c>
    </row>
    <row r="6">
      <c r="A6" s="2" t="inlineStr">
        <is>
          <t>Tú Nguyễn Xuân</t>
        </is>
      </c>
      <c r="B6" s="3" t="inlineStr">
        <is>
          <t>https://vn.linkedin.com/in/t%C3%BA-nguy%E1%BB%85n-xu%C3%A2n-bb3975141</t>
        </is>
      </c>
      <c r="C6" s="2" t="inlineStr">
        <is>
          <t>Kỹ sư phần mềm, không phải kinh doanh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Chủ nhiệm dự án mảng Đèn &amp; Giải pháp SmartHome (đèn Đức, Vimar; khách sạn, resort, biệt thự) – Yên Hòa, Hà Nội. Địa điểm ghi 'Chưa xác minh' = cần hỏi lại ứng viên</t>
        </is>
      </c>
    </row>
    <row r="5">
      <c r="A5" s="9" t="inlineStr">
        <is>
          <t>Nguồn</t>
        </is>
      </c>
      <c r="B5" s="9" t="inlineStr">
        <is>
          <t>Apify harvestapi/linkedin-profile-search (Full, không email search) + apify/google-search-scraper trên hồ sơ/bài đăng LinkedIn công khai; kiểm tra 09/10/2026; không đăng nhập</t>
        </is>
      </c>
    </row>
    <row r="6">
      <c r="A6" s="9" t="inlineStr">
        <is>
          <t>Open to Work</t>
        </is>
      </c>
      <c r="B6" s="9" t="inlineStr">
        <is>
          <t>confirmed = cờ openToWork=true hoặc headline ghi rõ đang tìm việc;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đúng ngành 25 · kinh nghiệm kinh doanh dự án/đấu thầu 25 · cấp bậc &amp; số năm 10 · ở Hà Nội 10 · chuyên ngành kỹ thuật 10. Thiếu dữ liệu = 0 điểm</t>
        </is>
      </c>
    </row>
    <row r="8">
      <c r="A8" s="9" t="inlineStr">
        <is>
          <t>Giới tính</t>
        </is>
      </c>
      <c r="B8" s="9" t="inlineStr">
        <is>
          <t>Không dùng tuổi, giới tính hay đặc điểm cá nhân để lọc hoặc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2026-10-09T06:55:13Z</dcterms:created>
  <dcterms:modified xmlns:dcterms="http://purl.org/dc/terms/" xmlns:xsi="http://www.w3.org/2001/XMLSchema-instance" xsi:type="dcterms:W3CDTF">2026-10-09T06:55:13Z</dcterms:modified>
</cp:coreProperties>
</file>