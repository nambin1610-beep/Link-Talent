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Ứng viên" sheetId="1" state="visible" r:id="rId1"/>
    <sheet xmlns:r="http://schemas.openxmlformats.org/officeDocument/2006/relationships" name="Tổng hợp" sheetId="2" state="visible" r:id="rId2"/>
    <sheet xmlns:r="http://schemas.openxmlformats.org/officeDocument/2006/relationships" name="Đã loại" sheetId="3" state="visible" r:id="rId3"/>
    <sheet xmlns:r="http://schemas.openxmlformats.org/officeDocument/2006/relationships" name="Hướng dẫn" sheetId="4" state="visible" r:id="rId4"/>
  </sheets>
  <definedNames>
    <definedName name="_xlnm._FilterDatabase" localSheetId="0" hidden="1">'Ứng viên'!$A$1:$U$14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2" fillId="0" borderId="1" pivotButton="0" quotePrefix="0" xfId="0"/>
    <xf numFmtId="9" fontId="2" fillId="0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bac-van-nguyen-a95621157" TargetMode="External" Id="rId1"/><Relationship Type="http://schemas.openxmlformats.org/officeDocument/2006/relationships/hyperlink" Target="https://www.linkedin.com/in/bac-van-nguyen-a95621157" TargetMode="External" Id="rId2"/><Relationship Type="http://schemas.openxmlformats.org/officeDocument/2006/relationships/hyperlink" Target="https://vn.linkedin.com/in/dang-nghia-31359444" TargetMode="External" Id="rId3"/><Relationship Type="http://schemas.openxmlformats.org/officeDocument/2006/relationships/hyperlink" Target="https://vn.linkedin.com/in/dang-nghia-31359444" TargetMode="External" Id="rId4"/><Relationship Type="http://schemas.openxmlformats.org/officeDocument/2006/relationships/hyperlink" Target="https://www.linkedin.com/in/chu-xuan-thuy-8b99a226" TargetMode="External" Id="rId5"/><Relationship Type="http://schemas.openxmlformats.org/officeDocument/2006/relationships/hyperlink" Target="https://www.linkedin.com/in/viet-lequang-4369723a2" TargetMode="External" Id="rId6"/><Relationship Type="http://schemas.openxmlformats.org/officeDocument/2006/relationships/hyperlink" Target="https://www.linkedin.com/in/v&#361;-minh-h&#249;ng-3aa104259" TargetMode="External" Id="rId7"/><Relationship Type="http://schemas.openxmlformats.org/officeDocument/2006/relationships/hyperlink" Target="https://vn.linkedin.com/in/duc-dinhxuan-16552244" TargetMode="External" Id="rId8"/><Relationship Type="http://schemas.openxmlformats.org/officeDocument/2006/relationships/hyperlink" Target="https://www.linkedin.com/in/quoc-nam-nguyen-&#38446;&#22269;&#21335;-51141821b" TargetMode="External" Id="rId9"/><Relationship Type="http://schemas.openxmlformats.org/officeDocument/2006/relationships/hyperlink" Target="https://www.linkedin.com/in/oleg-ryzhuk" TargetMode="External" Id="rId10"/><Relationship Type="http://schemas.openxmlformats.org/officeDocument/2006/relationships/hyperlink" Target="https://vn.linkedin.com/in/manh-ha-27246520b" TargetMode="External" Id="rId11"/><Relationship Type="http://schemas.openxmlformats.org/officeDocument/2006/relationships/hyperlink" Target="https://vn.linkedin.com/in/hoang-nu-hoi-2547531b3" TargetMode="External" Id="rId12"/><Relationship Type="http://schemas.openxmlformats.org/officeDocument/2006/relationships/hyperlink" Target="https://www.linkedin.com/in/ninhdaotuan" TargetMode="External" Id="rId13"/><Relationship Type="http://schemas.openxmlformats.org/officeDocument/2006/relationships/hyperlink" Target="https://www.linkedin.com/in/trung-hoang-quang-12b71575" TargetMode="External" Id="rId14"/><Relationship Type="http://schemas.openxmlformats.org/officeDocument/2006/relationships/hyperlink" Target="https://vn.linkedin.com/in/thu-hang-dao-111032ab" TargetMode="External" Id="rId15"/></Relationships>
</file>

<file path=xl/worksheets/_rels/sheet3.xml.rels><Relationships xmlns="http://schemas.openxmlformats.org/package/2006/relationships"><Relationship Type="http://schemas.openxmlformats.org/officeDocument/2006/relationships/hyperlink" Target="https://vn.linkedin.com/in/thanh-nguyen-1b8141198" TargetMode="External" Id="rId1"/><Relationship Type="http://schemas.openxmlformats.org/officeDocument/2006/relationships/hyperlink" Target="https://vn.linkedin.com/in/nguyen-hop-a65a3198" TargetMode="External" Id="rId2"/><Relationship Type="http://schemas.openxmlformats.org/officeDocument/2006/relationships/hyperlink" Target="https://vn.linkedin.com/posts/dungnguoidungviec_%E1%BB%A9ng-vi%C3%AAn-sale-281-activity-7422141962033750016-D-sJ" TargetMode="External" Id="rId3"/><Relationship Type="http://schemas.openxmlformats.org/officeDocument/2006/relationships/hyperlink" Target="https://www.linkedin.com/in/hung-dang-ngoc-a17230b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3" customWidth="1" min="3" max="3"/>
    <col width="18" customWidth="1" min="4" max="4"/>
    <col width="26" customWidth="1" min="5" max="5"/>
    <col width="26" customWidth="1" min="6" max="6"/>
    <col width="14" customWidth="1" min="7" max="7"/>
    <col width="32" customWidth="1" min="8" max="8"/>
    <col width="11" customWidth="1" min="9" max="9"/>
    <col width="11" customWidth="1" min="10" max="10"/>
    <col width="45" customWidth="1" min="11" max="11"/>
    <col width="30" customWidth="1" min="12" max="12"/>
    <col width="9" customWidth="1" min="13" max="13"/>
    <col width="38" customWidth="1" min="14" max="14"/>
    <col width="40" customWidth="1" min="15" max="15"/>
    <col width="14" customWidth="1" min="16" max="16"/>
    <col width="12" customWidth="1" min="17" max="17"/>
    <col width="14" customWidth="1" min="18" max="18"/>
    <col width="15" customWidth="1" min="19" max="19"/>
    <col width="22" customWidth="1" min="20" max="20"/>
    <col width="30" customWidth="1" min="21" max="21"/>
  </cols>
  <sheetData>
    <row r="1" ht="32" customHeight="1">
      <c r="A1" s="1" t="inlineStr">
        <is>
          <t>STT</t>
        </is>
      </c>
      <c r="B1" s="1" t="inlineStr">
        <is>
          <t>Nhóm</t>
        </is>
      </c>
      <c r="C1" s="1" t="inlineStr">
        <is>
          <t>Mã</t>
        </is>
      </c>
      <c r="D1" s="1" t="inlineStr">
        <is>
          <t>Họ tên</t>
        </is>
      </c>
      <c r="E1" s="1" t="inlineStr">
        <is>
          <t>Chức danh</t>
        </is>
      </c>
      <c r="F1" s="1" t="inlineStr">
        <is>
          <t>Công ty</t>
        </is>
      </c>
      <c r="G1" s="1" t="inlineStr">
        <is>
          <t>Địa điểm</t>
        </is>
      </c>
      <c r="H1" s="1" t="inlineStr">
        <is>
          <t>Kinh nghiệm thiết bị/giải pháp lưới điện</t>
        </is>
      </c>
      <c r="I1" s="1" t="inlineStr">
        <is>
          <t>Open to Work</t>
        </is>
      </c>
      <c r="J1" s="1" t="inlineStr">
        <is>
          <t>Ngày tín hiệu</t>
        </is>
      </c>
      <c r="K1" s="1" t="inlineStr">
        <is>
          <t>Bằng chứng</t>
        </is>
      </c>
      <c r="L1" s="1" t="inlineStr">
        <is>
          <t>URL bằng chứng</t>
        </is>
      </c>
      <c r="M1" s="1" t="inlineStr">
        <is>
          <t>Điểm phù hợp</t>
        </is>
      </c>
      <c r="N1" s="1" t="inlineStr">
        <is>
          <t>Điểm cần lưu ý</t>
        </is>
      </c>
      <c r="O1" s="1" t="inlineStr">
        <is>
          <t>LinkedIn</t>
        </is>
      </c>
      <c r="P1" s="1" t="inlineStr">
        <is>
          <t>Đã liên hệ?</t>
        </is>
      </c>
      <c r="Q1" s="1" t="inlineStr">
        <is>
          <t>Ngày liên hệ</t>
        </is>
      </c>
      <c r="R1" s="1" t="inlineStr">
        <is>
          <t>Kênh liên hệ</t>
        </is>
      </c>
      <c r="S1" s="1" t="inlineStr">
        <is>
          <t>Phản hồi</t>
        </is>
      </c>
      <c r="T1" s="1" t="inlineStr">
        <is>
          <t>Trạng thái công việc</t>
        </is>
      </c>
      <c r="U1" s="1" t="inlineStr">
        <is>
          <t>Ghi chú của bạn</t>
        </is>
      </c>
    </row>
    <row r="2">
      <c r="A2" s="2" t="n">
        <v>1</v>
      </c>
      <c r="B2" s="2" t="inlineStr">
        <is>
          <t>Chính</t>
        </is>
      </c>
      <c r="C2" s="2" t="inlineStr">
        <is>
          <t>LD-001</t>
        </is>
      </c>
      <c r="D2" s="2" t="inlineStr">
        <is>
          <t>Bac Van Nguyen</t>
        </is>
      </c>
      <c r="E2" s="2" t="inlineStr">
        <is>
          <t>Sales Account Manager</t>
        </is>
      </c>
      <c r="F2" s="2" t="inlineStr">
        <is>
          <t>Thanh Thien Technology JSC</t>
        </is>
      </c>
      <c r="G2" s="2" t="inlineStr">
        <is>
          <t>Hanoi Capital Region</t>
        </is>
      </c>
      <c r="H2" s="2" t="inlineStr">
        <is>
          <t>Bán thiết bị công nghiệp/năng lượng: Technical Sales Engineer Cummins DKSH (máy phát điện, 04/2023–09/2025); Sales Manager Viteq Vietnam (2020–2023); EagleBurgmann</t>
        </is>
      </c>
      <c r="I2" s="2" t="inlineStr">
        <is>
          <t>confirmed</t>
        </is>
      </c>
      <c r="J2" s="2" t="inlineStr">
        <is>
          <t>2026-10-09 (thời điểm quét)</t>
        </is>
      </c>
      <c r="K2" s="2" t="inlineStr">
        <is>
          <t>openToWork=true trên hồ sơ LinkedIn (harvestapi Full)</t>
        </is>
      </c>
      <c r="L2" s="3" t="inlineStr">
        <is>
          <t>https://www.linkedin.com/in/bac-van-nguyen-a95621157</t>
        </is>
      </c>
      <c r="M2" s="2" t="n">
        <v>58</v>
      </c>
      <c r="N2" s="2" t="inlineStr">
        <is>
          <t>Chưa thấy kinh nghiệm trực tiếp về đường dây/trạm biến áp/thiết bị đóng cắt; Chưa rõ chuyên ngành đại học</t>
        </is>
      </c>
      <c r="O2" s="3" t="inlineStr">
        <is>
          <t>https://www.linkedin.com/in/bac-van-nguyen-a95621157</t>
        </is>
      </c>
      <c r="P2" s="4" t="inlineStr">
        <is>
          <t>Chưa liên hệ</t>
        </is>
      </c>
      <c r="Q2" s="5" t="n"/>
      <c r="R2" s="4" t="n"/>
      <c r="S2" s="4" t="inlineStr">
        <is>
          <t>Chưa phản hồi</t>
        </is>
      </c>
      <c r="T2" s="4" t="inlineStr">
        <is>
          <t>Chưa xác minh</t>
        </is>
      </c>
      <c r="U2" s="4" t="n"/>
    </row>
    <row r="3">
      <c r="A3" s="2" t="n">
        <v>2</v>
      </c>
      <c r="B3" s="2" t="inlineStr">
        <is>
          <t>Chính</t>
        </is>
      </c>
      <c r="C3" s="2" t="inlineStr">
        <is>
          <t>LD-002</t>
        </is>
      </c>
      <c r="D3" s="2" t="inlineStr">
        <is>
          <t>Dang Nghia</t>
        </is>
      </c>
      <c r="E3" s="2" t="inlineStr">
        <is>
          <t>Electrical Engineer</t>
        </is>
      </c>
      <c r="F3" s="2" t="inlineStr">
        <is>
          <t>(chưa rõ công ty hiện tại)</t>
        </is>
      </c>
      <c r="G3" s="2" t="inlineStr">
        <is>
          <t>Chưa xác minh (tốt nghiệp ĐH Bách khoa Hà Nội)</t>
        </is>
      </c>
      <c r="H3" s="2" t="inlineStr">
        <is>
          <t>Kỹ sư điện; Substation Control System – EVN/CPPMB (2007–2008); thử nghiệm, nghiệm thu, đóng điện</t>
        </is>
      </c>
      <c r="I3" s="2" t="inlineStr">
        <is>
          <t>probable</t>
        </is>
      </c>
      <c r="J3" s="2" t="inlineStr">
        <is>
          <t>không rõ</t>
        </is>
      </c>
      <c r="K3" s="2" t="inlineStr">
        <is>
          <t>Google snippet hồ sơ: "Open to work"</t>
        </is>
      </c>
      <c r="L3" s="3" t="inlineStr">
        <is>
          <t>https://vn.linkedin.com/in/dang-nghia-31359444</t>
        </is>
      </c>
      <c r="M3" s="2" t="n">
        <v>50</v>
      </c>
      <c r="N3" s="2" t="inlineStr">
        <is>
          <t>Thiên về kỹ thuật, chưa thấy kinh nghiệm kinh doanh/đấu thầu; Ngày tín hiệu không rõ; Địa điểm hiện tại chưa xác minh</t>
        </is>
      </c>
      <c r="O3" s="3" t="inlineStr">
        <is>
          <t>https://vn.linkedin.com/in/dang-nghia-31359444</t>
        </is>
      </c>
      <c r="P3" s="4" t="inlineStr">
        <is>
          <t>Chưa liên hệ</t>
        </is>
      </c>
      <c r="Q3" s="5" t="n"/>
      <c r="R3" s="4" t="n"/>
      <c r="S3" s="4" t="inlineStr">
        <is>
          <t>Chưa phản hồi</t>
        </is>
      </c>
      <c r="T3" s="4" t="inlineStr">
        <is>
          <t>Chưa xác minh</t>
        </is>
      </c>
      <c r="U3" s="4" t="n"/>
    </row>
    <row r="4">
      <c r="A4" s="2" t="n">
        <v>3</v>
      </c>
      <c r="B4" s="2" t="inlineStr">
        <is>
          <t>Theo dõi</t>
        </is>
      </c>
      <c r="C4" s="2" t="inlineStr">
        <is>
          <t>LD-W01</t>
        </is>
      </c>
      <c r="D4" s="2" t="inlineStr">
        <is>
          <t>Chu Xuan Thuy</t>
        </is>
      </c>
      <c r="E4" s="2" t="inlineStr">
        <is>
          <t>Area Sales Manager</t>
        </is>
      </c>
      <c r="F4" s="2" t="inlineStr">
        <is>
          <t>Hitachi Energy</t>
        </is>
      </c>
      <c r="G4" s="2" t="inlineStr">
        <is>
          <t>Hanoi</t>
        </is>
      </c>
      <c r="H4" s="2" t="inlineStr">
        <is>
          <t>Hitachi Energy ASM (09/2021–nay); nguyên GM Electrical Engineering &amp; Sales Support LS ELECTRIC (2012–2021); Project &amp; Engineering Manager ABB – rất sát JD</t>
        </is>
      </c>
      <c r="I4" s="2" t="inlineStr">
        <is>
          <t>unverified</t>
        </is>
      </c>
      <c r="J4" s="2" t="inlineStr"/>
      <c r="K4" s="2" t="inlineStr">
        <is>
          <t>Chưa thấy tín hiệu tìm việc công khai</t>
        </is>
      </c>
      <c r="L4" s="2" t="inlineStr"/>
      <c r="M4" s="2" t="n"/>
      <c r="N4" s="2" t="inlineStr">
        <is>
          <t>Cần hỏi trực tiếp nhu cầu chuyển việc</t>
        </is>
      </c>
      <c r="O4" s="3" t="inlineStr">
        <is>
          <t>https://www.linkedin.com/in/chu-xuan-thuy-8b99a226</t>
        </is>
      </c>
      <c r="P4" s="4" t="inlineStr">
        <is>
          <t>Chưa liên hệ</t>
        </is>
      </c>
      <c r="Q4" s="5" t="n"/>
      <c r="R4" s="4" t="n"/>
      <c r="S4" s="4" t="inlineStr">
        <is>
          <t>Chưa phản hồi</t>
        </is>
      </c>
      <c r="T4" s="4" t="inlineStr">
        <is>
          <t>Chưa xác minh</t>
        </is>
      </c>
      <c r="U4" s="4" t="n"/>
    </row>
    <row r="5">
      <c r="A5" s="2" t="n">
        <v>4</v>
      </c>
      <c r="B5" s="2" t="inlineStr">
        <is>
          <t>Theo dõi</t>
        </is>
      </c>
      <c r="C5" s="2" t="inlineStr">
        <is>
          <t>LD-W02</t>
        </is>
      </c>
      <c r="D5" s="2" t="inlineStr">
        <is>
          <t>Viet LeQuang</t>
        </is>
      </c>
      <c r="E5" s="2" t="inlineStr">
        <is>
          <t>Sales Manager – Utility Segment (EVN), Electrification, Miền Bắc</t>
        </is>
      </c>
      <c r="F5" s="2" t="inlineStr">
        <is>
          <t>ABB</t>
        </is>
      </c>
      <c r="G5" s="2" t="inlineStr">
        <is>
          <t>Hanoi Capital Region</t>
        </is>
      </c>
      <c r="H5" s="2" t="inlineStr">
        <is>
          <t>Bán thiết bị điện cho khối EVN từ 2018; 20 năm ở ABB/Siemens distributor</t>
        </is>
      </c>
      <c r="I5" s="2" t="inlineStr">
        <is>
          <t>unverified</t>
        </is>
      </c>
      <c r="J5" s="2" t="inlineStr"/>
      <c r="K5" s="2" t="inlineStr">
        <is>
          <t>Chưa thấy tín hiệu tìm việc công khai</t>
        </is>
      </c>
      <c r="L5" s="2" t="inlineStr"/>
      <c r="M5" s="2" t="n"/>
      <c r="N5" s="2" t="inlineStr">
        <is>
          <t>Cần hỏi trực tiếp nhu cầu chuyển việc</t>
        </is>
      </c>
      <c r="O5" s="3" t="inlineStr">
        <is>
          <t>https://www.linkedin.com/in/viet-lequang-4369723a2</t>
        </is>
      </c>
      <c r="P5" s="4" t="inlineStr">
        <is>
          <t>Chưa liên hệ</t>
        </is>
      </c>
      <c r="Q5" s="5" t="n"/>
      <c r="R5" s="4" t="n"/>
      <c r="S5" s="4" t="inlineStr">
        <is>
          <t>Chưa phản hồi</t>
        </is>
      </c>
      <c r="T5" s="4" t="inlineStr">
        <is>
          <t>Chưa xác minh</t>
        </is>
      </c>
      <c r="U5" s="4" t="n"/>
    </row>
    <row r="6">
      <c r="A6" s="2" t="n">
        <v>5</v>
      </c>
      <c r="B6" s="2" t="inlineStr">
        <is>
          <t>Theo dõi</t>
        </is>
      </c>
      <c r="C6" s="2" t="inlineStr">
        <is>
          <t>LD-W03</t>
        </is>
      </c>
      <c r="D6" s="2" t="inlineStr">
        <is>
          <t>Vũ Minh Hùng</t>
        </is>
      </c>
      <c r="E6" s="2" t="inlineStr">
        <is>
          <t>Country Sales Manager</t>
        </is>
      </c>
      <c r="F6" s="2" t="inlineStr">
        <is>
          <t>Elecnova Việt Nam</t>
        </is>
      </c>
      <c r="G6" s="2" t="inlineStr">
        <is>
          <t>Hanoi</t>
        </is>
      </c>
      <c r="H6" s="2" t="inlineStr">
        <is>
          <t>Power Quality, BESS, SVG; nguyên Senior Sales Manager Hitachi Energy (2021–2022); Sales Manager YOOSUNG KN</t>
        </is>
      </c>
      <c r="I6" s="2" t="inlineStr">
        <is>
          <t>unverified</t>
        </is>
      </c>
      <c r="J6" s="2" t="inlineStr"/>
      <c r="K6" s="2" t="inlineStr">
        <is>
          <t>Chưa thấy tín hiệu tìm việc công khai</t>
        </is>
      </c>
      <c r="L6" s="2" t="inlineStr"/>
      <c r="M6" s="2" t="n"/>
      <c r="N6" s="2" t="inlineStr">
        <is>
          <t>Cần hỏi trực tiếp nhu cầu chuyển việc</t>
        </is>
      </c>
      <c r="O6" s="3" t="inlineStr">
        <is>
          <t>https://www.linkedin.com/in/vũ-minh-hùng-3aa104259</t>
        </is>
      </c>
      <c r="P6" s="4" t="inlineStr">
        <is>
          <t>Chưa liên hệ</t>
        </is>
      </c>
      <c r="Q6" s="5" t="n"/>
      <c r="R6" s="4" t="n"/>
      <c r="S6" s="4" t="inlineStr">
        <is>
          <t>Chưa phản hồi</t>
        </is>
      </c>
      <c r="T6" s="4" t="inlineStr">
        <is>
          <t>Chưa xác minh</t>
        </is>
      </c>
      <c r="U6" s="4" t="n"/>
    </row>
    <row r="7">
      <c r="A7" s="2" t="n">
        <v>6</v>
      </c>
      <c r="B7" s="2" t="inlineStr">
        <is>
          <t>Theo dõi</t>
        </is>
      </c>
      <c r="C7" s="2" t="inlineStr">
        <is>
          <t>LD-W04</t>
        </is>
      </c>
      <c r="D7" s="2" t="inlineStr">
        <is>
          <t>Duc DinhXuan</t>
        </is>
      </c>
      <c r="E7" s="2" t="inlineStr">
        <is>
          <t>Sales Manager – Medium Voltage Motors &amp; Converters</t>
        </is>
      </c>
      <c r="F7" s="2" t="inlineStr">
        <is>
          <t>Siemens</t>
        </is>
      </c>
      <c r="G7" s="2" t="inlineStr">
        <is>
          <t>Hanoi</t>
        </is>
      </c>
      <c r="H7" s="2" t="inlineStr">
        <is>
          <t>Gần 20 năm trong lĩnh vực Power &amp; Energy</t>
        </is>
      </c>
      <c r="I7" s="2" t="inlineStr">
        <is>
          <t>unverified</t>
        </is>
      </c>
      <c r="J7" s="2" t="inlineStr"/>
      <c r="K7" s="2" t="inlineStr">
        <is>
          <t>Chưa thấy tín hiệu tìm việc công khai</t>
        </is>
      </c>
      <c r="L7" s="2" t="inlineStr"/>
      <c r="M7" s="2" t="n"/>
      <c r="N7" s="2" t="inlineStr">
        <is>
          <t>Cần hỏi trực tiếp nhu cầu chuyển việc</t>
        </is>
      </c>
      <c r="O7" s="3" t="inlineStr">
        <is>
          <t>https://vn.linkedin.com/in/duc-dinhxuan-16552244</t>
        </is>
      </c>
      <c r="P7" s="4" t="inlineStr">
        <is>
          <t>Chưa liên hệ</t>
        </is>
      </c>
      <c r="Q7" s="5" t="n"/>
      <c r="R7" s="4" t="n"/>
      <c r="S7" s="4" t="inlineStr">
        <is>
          <t>Chưa phản hồi</t>
        </is>
      </c>
      <c r="T7" s="4" t="inlineStr">
        <is>
          <t>Chưa xác minh</t>
        </is>
      </c>
      <c r="U7" s="4" t="n"/>
    </row>
    <row r="8">
      <c r="A8" s="2" t="n">
        <v>7</v>
      </c>
      <c r="B8" s="2" t="inlineStr">
        <is>
          <t>Theo dõi</t>
        </is>
      </c>
      <c r="C8" s="2" t="inlineStr">
        <is>
          <t>LD-W05</t>
        </is>
      </c>
      <c r="D8" s="2" t="inlineStr">
        <is>
          <t>Quoc Nam Nguyen</t>
        </is>
      </c>
      <c r="E8" s="2" t="inlineStr">
        <is>
          <t>Senior International Sales &amp; Account Manager</t>
        </is>
      </c>
      <c r="F8" s="2" t="inlineStr">
        <is>
          <t>Dong Anh Steel Tower (DAST)</t>
        </is>
      </c>
      <c r="G8" s="2" t="inlineStr">
        <is>
          <t>Hanoi Capital Region</t>
        </is>
      </c>
      <c r="H8" s="2" t="inlineStr">
        <is>
          <t>Cột thép đường dây truyền tải; từng là Sales Engineer SEICO</t>
        </is>
      </c>
      <c r="I8" s="2" t="inlineStr">
        <is>
          <t>unverified</t>
        </is>
      </c>
      <c r="J8" s="2" t="inlineStr"/>
      <c r="K8" s="2" t="inlineStr">
        <is>
          <t>Chưa thấy tín hiệu tìm việc công khai</t>
        </is>
      </c>
      <c r="L8" s="2" t="inlineStr"/>
      <c r="M8" s="2" t="n"/>
      <c r="N8" s="2" t="inlineStr">
        <is>
          <t>Cần hỏi trực tiếp nhu cầu chuyển việc</t>
        </is>
      </c>
      <c r="O8" s="3" t="inlineStr">
        <is>
          <t>https://www.linkedin.com/in/quoc-nam-nguyen-阮国南-51141821b</t>
        </is>
      </c>
      <c r="P8" s="4" t="inlineStr">
        <is>
          <t>Chưa liên hệ</t>
        </is>
      </c>
      <c r="Q8" s="5" t="n"/>
      <c r="R8" s="4" t="n"/>
      <c r="S8" s="4" t="inlineStr">
        <is>
          <t>Chưa phản hồi</t>
        </is>
      </c>
      <c r="T8" s="4" t="inlineStr">
        <is>
          <t>Chưa xác minh</t>
        </is>
      </c>
      <c r="U8" s="4" t="n"/>
    </row>
    <row r="9">
      <c r="A9" s="2" t="n">
        <v>8</v>
      </c>
      <c r="B9" s="2" t="inlineStr">
        <is>
          <t>Theo dõi</t>
        </is>
      </c>
      <c r="C9" s="2" t="inlineStr">
        <is>
          <t>LD-W06</t>
        </is>
      </c>
      <c r="D9" s="2" t="inlineStr">
        <is>
          <t>Oleg R.</t>
        </is>
      </c>
      <c r="E9" s="2" t="inlineStr">
        <is>
          <t>Business Development Manager</t>
        </is>
      </c>
      <c r="F9" s="2" t="inlineStr">
        <is>
          <t>Principal Elektrik</t>
        </is>
      </c>
      <c r="G9" s="2" t="inlineStr">
        <is>
          <t>Hanoi Capital Region</t>
        </is>
      </c>
      <c r="H9" s="2" t="inlineStr">
        <is>
          <t>Nguyên Factory Manager / Local BU Manager Medium Voltage ABB</t>
        </is>
      </c>
      <c r="I9" s="2" t="inlineStr">
        <is>
          <t>unverified</t>
        </is>
      </c>
      <c r="J9" s="2" t="inlineStr"/>
      <c r="K9" s="2" t="inlineStr">
        <is>
          <t>Chưa thấy tín hiệu tìm việc công khai</t>
        </is>
      </c>
      <c r="L9" s="2" t="inlineStr"/>
      <c r="M9" s="2" t="n"/>
      <c r="N9" s="2" t="inlineStr">
        <is>
          <t>Cần hỏi trực tiếp nhu cầu chuyển việc</t>
        </is>
      </c>
      <c r="O9" s="3" t="inlineStr">
        <is>
          <t>https://www.linkedin.com/in/oleg-ryzhuk</t>
        </is>
      </c>
      <c r="P9" s="4" t="inlineStr">
        <is>
          <t>Chưa liên hệ</t>
        </is>
      </c>
      <c r="Q9" s="5" t="n"/>
      <c r="R9" s="4" t="n"/>
      <c r="S9" s="4" t="inlineStr">
        <is>
          <t>Chưa phản hồi</t>
        </is>
      </c>
      <c r="T9" s="4" t="inlineStr">
        <is>
          <t>Chưa xác minh</t>
        </is>
      </c>
      <c r="U9" s="4" t="n"/>
    </row>
    <row r="10">
      <c r="A10" s="2" t="n">
        <v>9</v>
      </c>
      <c r="B10" s="2" t="inlineStr">
        <is>
          <t>Theo dõi</t>
        </is>
      </c>
      <c r="C10" s="2" t="inlineStr">
        <is>
          <t>LD-W07</t>
        </is>
      </c>
      <c r="D10" s="2" t="inlineStr">
        <is>
          <t>Manh Ha</t>
        </is>
      </c>
      <c r="E10" s="2" t="inlineStr">
        <is>
          <t>Project Sales Manager (M&amp;E)</t>
        </is>
      </c>
      <c r="F10" s="2" t="inlineStr">
        <is>
          <t>(chưa rõ)</t>
        </is>
      </c>
      <c r="G10" s="2" t="inlineStr">
        <is>
          <t>Chưa xác minh</t>
        </is>
      </c>
      <c r="H10" s="2" t="inlineStr">
        <is>
          <t>12+ năm project sales thiết bị điện hạ/trung thế: busway, tủ LV/MV, máy biến áp</t>
        </is>
      </c>
      <c r="I10" s="2" t="inlineStr">
        <is>
          <t>unverified</t>
        </is>
      </c>
      <c r="J10" s="2" t="inlineStr"/>
      <c r="K10" s="2" t="inlineStr">
        <is>
          <t>Chưa thấy tín hiệu tìm việc công khai</t>
        </is>
      </c>
      <c r="L10" s="2" t="inlineStr"/>
      <c r="M10" s="2" t="n"/>
      <c r="N10" s="2" t="inlineStr">
        <is>
          <t>Cần hỏi trực tiếp nhu cầu chuyển việc</t>
        </is>
      </c>
      <c r="O10" s="3" t="inlineStr">
        <is>
          <t>https://vn.linkedin.com/in/manh-ha-27246520b</t>
        </is>
      </c>
      <c r="P10" s="4" t="inlineStr">
        <is>
          <t>Chưa liên hệ</t>
        </is>
      </c>
      <c r="Q10" s="5" t="n"/>
      <c r="R10" s="4" t="n"/>
      <c r="S10" s="4" t="inlineStr">
        <is>
          <t>Chưa phản hồi</t>
        </is>
      </c>
      <c r="T10" s="4" t="inlineStr">
        <is>
          <t>Chưa xác minh</t>
        </is>
      </c>
      <c r="U10" s="4" t="n"/>
    </row>
    <row r="11">
      <c r="A11" s="2" t="n">
        <v>10</v>
      </c>
      <c r="B11" s="2" t="inlineStr">
        <is>
          <t>Theo dõi</t>
        </is>
      </c>
      <c r="C11" s="2" t="inlineStr">
        <is>
          <t>LD-W08</t>
        </is>
      </c>
      <c r="D11" s="2" t="inlineStr">
        <is>
          <t>Hoang Nu Hoi</t>
        </is>
      </c>
      <c r="E11" s="2" t="inlineStr">
        <is>
          <t>General Manager</t>
        </is>
      </c>
      <c r="F11" s="2" t="inlineStr">
        <is>
          <t>Toan Thang Engineering Corp</t>
        </is>
      </c>
      <c r="G11" s="2" t="inlineStr">
        <is>
          <t>Hanoi Capital Region</t>
        </is>
      </c>
      <c r="H11" s="2" t="inlineStr">
        <is>
          <t>Từng là Sales Engineer Viettech; nhà phân phối thiết bị đo lường/tự động hóa</t>
        </is>
      </c>
      <c r="I11" s="2" t="inlineStr">
        <is>
          <t>unverified</t>
        </is>
      </c>
      <c r="J11" s="2" t="inlineStr"/>
      <c r="K11" s="2" t="inlineStr">
        <is>
          <t>Chưa thấy tín hiệu tìm việc công khai</t>
        </is>
      </c>
      <c r="L11" s="2" t="inlineStr"/>
      <c r="M11" s="2" t="n"/>
      <c r="N11" s="2" t="inlineStr">
        <is>
          <t>Cần hỏi trực tiếp nhu cầu chuyển việc</t>
        </is>
      </c>
      <c r="O11" s="3" t="inlineStr">
        <is>
          <t>https://vn.linkedin.com/in/hoang-nu-hoi-2547531b3</t>
        </is>
      </c>
      <c r="P11" s="4" t="inlineStr">
        <is>
          <t>Chưa liên hệ</t>
        </is>
      </c>
      <c r="Q11" s="5" t="n"/>
      <c r="R11" s="4" t="n"/>
      <c r="S11" s="4" t="inlineStr">
        <is>
          <t>Chưa phản hồi</t>
        </is>
      </c>
      <c r="T11" s="4" t="inlineStr">
        <is>
          <t>Chưa xác minh</t>
        </is>
      </c>
      <c r="U11" s="4" t="n"/>
    </row>
    <row r="12">
      <c r="A12" s="2" t="n">
        <v>11</v>
      </c>
      <c r="B12" s="2" t="inlineStr">
        <is>
          <t>Theo dõi</t>
        </is>
      </c>
      <c r="C12" s="2" t="inlineStr">
        <is>
          <t>LD-W09</t>
        </is>
      </c>
      <c r="D12" s="2" t="inlineStr">
        <is>
          <t>Ninh Đào</t>
        </is>
      </c>
      <c r="E12" s="2" t="inlineStr">
        <is>
          <t>Sales Manager – GE Power Conversion &amp; Storage</t>
        </is>
      </c>
      <c r="F12" s="2" t="inlineStr">
        <is>
          <t>GE Vernova</t>
        </is>
      </c>
      <c r="G12" s="2" t="inlineStr">
        <is>
          <t>Hanoi Capital Region</t>
        </is>
      </c>
      <c r="H12" s="2" t="inlineStr">
        <is>
          <t>Sales Manager Bently Nevada (2018–2023); Sales &amp; Services &amp; Engineering</t>
        </is>
      </c>
      <c r="I12" s="2" t="inlineStr">
        <is>
          <t>unverified</t>
        </is>
      </c>
      <c r="J12" s="2" t="inlineStr"/>
      <c r="K12" s="2" t="inlineStr">
        <is>
          <t>Chưa thấy tín hiệu tìm việc công khai</t>
        </is>
      </c>
      <c r="L12" s="2" t="inlineStr"/>
      <c r="M12" s="2" t="n"/>
      <c r="N12" s="2" t="inlineStr">
        <is>
          <t>Cần hỏi trực tiếp nhu cầu chuyển việc</t>
        </is>
      </c>
      <c r="O12" s="3" t="inlineStr">
        <is>
          <t>https://www.linkedin.com/in/ninhdaotuan</t>
        </is>
      </c>
      <c r="P12" s="4" t="inlineStr">
        <is>
          <t>Chưa liên hệ</t>
        </is>
      </c>
      <c r="Q12" s="5" t="n"/>
      <c r="R12" s="4" t="n"/>
      <c r="S12" s="4" t="inlineStr">
        <is>
          <t>Chưa phản hồi</t>
        </is>
      </c>
      <c r="T12" s="4" t="inlineStr">
        <is>
          <t>Chưa xác minh</t>
        </is>
      </c>
      <c r="U12" s="4" t="n"/>
    </row>
    <row r="13">
      <c r="A13" s="2" t="n">
        <v>12</v>
      </c>
      <c r="B13" s="2" t="inlineStr">
        <is>
          <t>Theo dõi</t>
        </is>
      </c>
      <c r="C13" s="2" t="inlineStr">
        <is>
          <t>LD-W10</t>
        </is>
      </c>
      <c r="D13" s="2" t="inlineStr">
        <is>
          <t>Trung Hoang Quang</t>
        </is>
      </c>
      <c r="E13" s="2" t="inlineStr">
        <is>
          <t>Senior Business Development Manager (Energy)</t>
        </is>
      </c>
      <c r="F13" s="2" t="inlineStr">
        <is>
          <t>The AES Corporation</t>
        </is>
      </c>
      <c r="G13" s="2" t="inlineStr">
        <is>
          <t>Vietnam</t>
        </is>
      </c>
      <c r="H13" s="2" t="inlineStr">
        <is>
          <t>Nguyên Technical PM điện gió (Nexif Ratch), Chief Engineer dự án điện mặt trời</t>
        </is>
      </c>
      <c r="I13" s="2" t="inlineStr">
        <is>
          <t>unverified</t>
        </is>
      </c>
      <c r="J13" s="2" t="inlineStr"/>
      <c r="K13" s="2" t="inlineStr">
        <is>
          <t>Chưa thấy tín hiệu tìm việc công khai</t>
        </is>
      </c>
      <c r="L13" s="2" t="inlineStr"/>
      <c r="M13" s="2" t="n"/>
      <c r="N13" s="2" t="inlineStr">
        <is>
          <t>Cần hỏi trực tiếp nhu cầu chuyển việc</t>
        </is>
      </c>
      <c r="O13" s="3" t="inlineStr">
        <is>
          <t>https://www.linkedin.com/in/trung-hoang-quang-12b71575</t>
        </is>
      </c>
      <c r="P13" s="4" t="inlineStr">
        <is>
          <t>Chưa liên hệ</t>
        </is>
      </c>
      <c r="Q13" s="5" t="n"/>
      <c r="R13" s="4" t="n"/>
      <c r="S13" s="4" t="inlineStr">
        <is>
          <t>Chưa phản hồi</t>
        </is>
      </c>
      <c r="T13" s="4" t="inlineStr">
        <is>
          <t>Chưa xác minh</t>
        </is>
      </c>
      <c r="U13" s="4" t="n"/>
    </row>
    <row r="14">
      <c r="A14" s="2" t="n">
        <v>13</v>
      </c>
      <c r="B14" s="2" t="inlineStr">
        <is>
          <t>Theo dõi</t>
        </is>
      </c>
      <c r="C14" s="2" t="inlineStr">
        <is>
          <t>LD-W11</t>
        </is>
      </c>
      <c r="D14" s="2" t="inlineStr">
        <is>
          <t>Thu Hang DAO</t>
        </is>
      </c>
      <c r="E14" s="2" t="inlineStr">
        <is>
          <t>Project Manager</t>
        </is>
      </c>
      <c r="F14" s="2" t="inlineStr">
        <is>
          <t>Xuan Cau Holdings</t>
        </is>
      </c>
      <c r="G14" s="2" t="inlineStr">
        <is>
          <t>Hanoi Capital Region</t>
        </is>
      </c>
      <c r="H14" s="2" t="inlineStr">
        <is>
          <t>Thiết kế trạm biến áp 110–220kV (AIS, GIS, Compact) – thiên kỹ thuật/tư vấn thiết kế</t>
        </is>
      </c>
      <c r="I14" s="2" t="inlineStr">
        <is>
          <t>unverified</t>
        </is>
      </c>
      <c r="J14" s="2" t="inlineStr"/>
      <c r="K14" s="2" t="inlineStr">
        <is>
          <t>Chưa thấy tín hiệu tìm việc công khai</t>
        </is>
      </c>
      <c r="L14" s="2" t="inlineStr"/>
      <c r="M14" s="2" t="n"/>
      <c r="N14" s="2" t="inlineStr">
        <is>
          <t>Cần hỏi trực tiếp nhu cầu chuyển việc</t>
        </is>
      </c>
      <c r="O14" s="3" t="inlineStr">
        <is>
          <t>https://vn.linkedin.com/in/thu-hang-dao-111032ab</t>
        </is>
      </c>
      <c r="P14" s="4" t="inlineStr">
        <is>
          <t>Chưa liên hệ</t>
        </is>
      </c>
      <c r="Q14" s="5" t="n"/>
      <c r="R14" s="4" t="n"/>
      <c r="S14" s="4" t="inlineStr">
        <is>
          <t>Chưa phản hồi</t>
        </is>
      </c>
      <c r="T14" s="4" t="inlineStr">
        <is>
          <t>Chưa xác minh</t>
        </is>
      </c>
      <c r="U14" s="4" t="n"/>
    </row>
  </sheetData>
  <autoFilter ref="A1:U14"/>
  <conditionalFormatting sqref="P2:P14">
    <cfRule type="cellIs" priority="1" operator="equal" dxfId="0">
      <formula>"Đã liên hệ"</formula>
    </cfRule>
  </conditionalFormatting>
  <conditionalFormatting sqref="T2:T14">
    <cfRule type="cellIs" priority="2" operator="equal" dxfId="0">
      <formula>"Đang tìm việc"</formula>
    </cfRule>
  </conditionalFormatting>
  <dataValidations count="5">
    <dataValidation sqref="P2:P14" showDropDown="0" showInputMessage="0" showErrorMessage="0" allowBlank="1" type="list">
      <formula1>"Chưa liên hệ,Đã liên hệ,Không liên hệ được"</formula1>
    </dataValidation>
    <dataValidation sqref="R2:R14" showDropDown="0" showInputMessage="0" showErrorMessage="0" allowBlank="1" type="list">
      <formula1>"LinkedIn InMail,LinkedIn kết nối,Email,Điện thoại/Zalo,Giới thiệu,Khác"</formula1>
    </dataValidation>
    <dataValidation sqref="S2:S14" showDropDown="0" showInputMessage="0" showErrorMessage="0" allowBlank="1" type="list">
      <formula1>"Chưa phản hồi,Quan tâm,Không quan tâm,Hẹn phỏng vấn,Từ chối"</formula1>
    </dataValidation>
    <dataValidation sqref="T2:T14" showDropDown="0" showInputMessage="0" showErrorMessage="0" allowBlank="1" type="list">
      <formula1>"Chưa xác minh,Đang tìm việc,Đang làm việc - mở cơ hội,Đang làm việc - không đổi việc,Đã nhận offer nơi khác"</formula1>
    </dataValidation>
    <dataValidation sqref="Q2:Q14" showDropDown="0" showInputMessage="0" showErrorMessage="0" allowBlank="1" type="date" operator="greaterThan">
      <formula1>DATE(2020,1,1)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O2" r:id="rId2"/>
    <hyperlink xmlns:r="http://schemas.openxmlformats.org/officeDocument/2006/relationships" ref="L3" r:id="rId3"/>
    <hyperlink xmlns:r="http://schemas.openxmlformats.org/officeDocument/2006/relationships" ref="O3" r:id="rId4"/>
    <hyperlink xmlns:r="http://schemas.openxmlformats.org/officeDocument/2006/relationships" ref="O4" r:id="rId5"/>
    <hyperlink xmlns:r="http://schemas.openxmlformats.org/officeDocument/2006/relationships" ref="O5" r:id="rId6"/>
    <hyperlink xmlns:r="http://schemas.openxmlformats.org/officeDocument/2006/relationships" ref="O6" r:id="rId7"/>
    <hyperlink xmlns:r="http://schemas.openxmlformats.org/officeDocument/2006/relationships" ref="O7" r:id="rId8"/>
    <hyperlink xmlns:r="http://schemas.openxmlformats.org/officeDocument/2006/relationships" ref="O8" r:id="rId9"/>
    <hyperlink xmlns:r="http://schemas.openxmlformats.org/officeDocument/2006/relationships" ref="O9" r:id="rId10"/>
    <hyperlink xmlns:r="http://schemas.openxmlformats.org/officeDocument/2006/relationships" ref="O10" r:id="rId11"/>
    <hyperlink xmlns:r="http://schemas.openxmlformats.org/officeDocument/2006/relationships" ref="O11" r:id="rId12"/>
    <hyperlink xmlns:r="http://schemas.openxmlformats.org/officeDocument/2006/relationships" ref="O12" r:id="rId13"/>
    <hyperlink xmlns:r="http://schemas.openxmlformats.org/officeDocument/2006/relationships" ref="O13" r:id="rId14"/>
    <hyperlink xmlns:r="http://schemas.openxmlformats.org/officeDocument/2006/relationships" ref="O14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Chỉ số</t>
        </is>
      </c>
      <c r="B1" s="1" t="inlineStr">
        <is>
          <t>Giá trị</t>
        </is>
      </c>
    </row>
    <row r="2">
      <c r="A2" s="6" t="inlineStr">
        <is>
          <t>Tổng số hồ sơ (Hà Nội)</t>
        </is>
      </c>
      <c r="B2" s="6">
        <f>COUNTA('Ứng viên'!D2:D14)</f>
        <v/>
      </c>
    </row>
    <row r="3">
      <c r="A3" s="6" t="inlineStr">
        <is>
          <t>Ứng viên chính (có tín hiệu tìm việc)</t>
        </is>
      </c>
      <c r="B3" s="6">
        <f>COUNTIF('Ứng viên'!B2:B14,"Chính")</f>
        <v/>
      </c>
    </row>
    <row r="4">
      <c r="A4" s="6" t="inlineStr">
        <is>
          <t>Open to Work confirmed</t>
        </is>
      </c>
      <c r="B4" s="6">
        <f>COUNTIF('Ứng viên'!I2:I14,"confirmed")</f>
        <v/>
      </c>
    </row>
    <row r="5">
      <c r="A5" s="6" t="inlineStr">
        <is>
          <t>Open to Work probable</t>
        </is>
      </c>
      <c r="B5" s="6">
        <f>COUNTIF('Ứng viên'!I2:I14,"probable")</f>
        <v/>
      </c>
    </row>
    <row r="6">
      <c r="A6" s="6" t="inlineStr">
        <is>
          <t>Danh sách theo dõi</t>
        </is>
      </c>
      <c r="B6" s="6">
        <f>COUNTIF('Ứng viên'!B2:B14,"Theo dõi")</f>
        <v/>
      </c>
    </row>
    <row r="7">
      <c r="A7" s="6" t="inlineStr">
        <is>
          <t>Đã liên hệ</t>
        </is>
      </c>
      <c r="B7" s="6">
        <f>COUNTIF('Ứng viên'!P2:P14,"Đã liên hệ")</f>
        <v/>
      </c>
    </row>
    <row r="8">
      <c r="A8" s="6" t="inlineStr">
        <is>
          <t>Chưa liên hệ</t>
        </is>
      </c>
      <c r="B8" s="6">
        <f>COUNTIF('Ứng viên'!P2:P14,"Chưa liên hệ")</f>
        <v/>
      </c>
    </row>
    <row r="9">
      <c r="A9" s="6" t="inlineStr">
        <is>
          <t>Tỷ lệ đã liên hệ</t>
        </is>
      </c>
      <c r="B9" s="7">
        <f>IFERROR(B7/B2,0)</f>
        <v/>
      </c>
    </row>
    <row r="10">
      <c r="A10" s="6" t="inlineStr">
        <is>
          <t>Phản hồi quan tâm</t>
        </is>
      </c>
      <c r="B10" s="6">
        <f>COUNTIF('Ứng viên'!S2:S14,"Quan tâm")</f>
        <v/>
      </c>
    </row>
    <row r="11">
      <c r="A11" s="6" t="inlineStr">
        <is>
          <t>Hẹn phỏng vấn</t>
        </is>
      </c>
      <c r="B11" s="6">
        <f>COUNTIF('Ứng viên'!S2:S14,"Hẹn phỏng vấn")</f>
        <v/>
      </c>
    </row>
    <row r="12">
      <c r="A12" s="6" t="inlineStr">
        <is>
          <t>Trạng thái: Đang tìm việc</t>
        </is>
      </c>
      <c r="B12" s="6">
        <f>COUNTIF('Ứng viên'!T2:T14,"Đang tìm việc")</f>
        <v/>
      </c>
    </row>
    <row r="13">
      <c r="A13" s="6" t="inlineStr">
        <is>
          <t>Trạng thái: Chưa xác minh</t>
        </is>
      </c>
      <c r="B13" s="6">
        <f>COUNTIF('Ứng viên'!T2:T14,"Chưa xác minh")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  <col width="70" customWidth="1" min="3" max="3"/>
  </cols>
  <sheetData>
    <row r="1">
      <c r="A1" s="1" t="inlineStr">
        <is>
          <t>Họ tên</t>
        </is>
      </c>
      <c r="B1" s="1" t="inlineStr">
        <is>
          <t>LinkedIn</t>
        </is>
      </c>
      <c r="C1" s="1" t="inlineStr">
        <is>
          <t>Lý do loại</t>
        </is>
      </c>
    </row>
    <row r="2">
      <c r="A2" s="2" t="inlineStr">
        <is>
          <t>Thanh Nguyen</t>
        </is>
      </c>
      <c r="B2" s="3" t="inlineStr">
        <is>
          <t>https://vn.linkedin.com/in/thanh-nguyen-1b8141198</t>
        </is>
      </c>
      <c r="C2" s="2" t="inlineStr">
        <is>
          <t>'Looking for Freelancer job' – thiết kế điện mặt trời, chỉ tìm việc tự do</t>
        </is>
      </c>
    </row>
    <row r="3">
      <c r="A3" s="2" t="inlineStr">
        <is>
          <t>Nguyen Hop</t>
        </is>
      </c>
      <c r="B3" s="3" t="inlineStr">
        <is>
          <t>https://vn.linkedin.com/in/nguyen-hop-a65a3198</t>
        </is>
      </c>
      <c r="C3" s="2" t="inlineStr">
        <is>
          <t>'Seeking' chỉ là câu mục tiêu nghề nghiệp; kỹ sư hiện trường/bảo trì, không làm kinh doanh</t>
        </is>
      </c>
    </row>
    <row r="4">
      <c r="A4" s="2" t="inlineStr">
        <is>
          <t>Ứng viên ẩn danh – bài 'ỨNG VIÊN SALE 28.1' (Đúng Người Đúng Việc)</t>
        </is>
      </c>
      <c r="B4" s="3" t="inlineStr">
        <is>
          <t>https://vn.linkedin.com/posts/dungnguoidungviec_%E1%BB%A9ng-vi%C3%AAn-sale-281-activity-7422141962033750016-D-sJ</t>
        </is>
      </c>
      <c r="C4" s="2" t="inlineStr">
        <is>
          <t>Hồ sơ hợp ngành (thiết bị điện LV–HV, đấu thầu) nhưng ẩn danh – liên hệ trang cộng đồng để xin CV</t>
        </is>
      </c>
    </row>
    <row r="5">
      <c r="A5" s="2" t="inlineStr">
        <is>
          <t>Hung Dang Ngoc</t>
        </is>
      </c>
      <c r="B5" s="3" t="inlineStr">
        <is>
          <t>https://www.linkedin.com/in/hung-dang-ngoc-a17230b9</t>
        </is>
      </c>
      <c r="C5" s="2" t="inlineStr">
        <is>
          <t>Đang làm cho EVNNPT (bên mua) – mảng quy hoạch, không làm kinh doanh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8" t="inlineStr">
        <is>
          <t>Cách dùng</t>
        </is>
      </c>
      <c r="B1" s="9" t="inlineStr"/>
    </row>
    <row r="2">
      <c r="A2" s="9" t="inlineStr">
        <is>
          <t>Ô nền vàng (cột P–U)</t>
        </is>
      </c>
      <c r="B2" s="9" t="inlineStr">
        <is>
          <t>Bạn tự cập nhật, chọn từ danh sách thả xuống</t>
        </is>
      </c>
    </row>
    <row r="3">
      <c r="A3" s="9" t="inlineStr">
        <is>
          <t>Ví dụ 1 dòng</t>
        </is>
      </c>
      <c r="B3" s="9" t="inlineStr">
        <is>
          <t>Đã liên hệ | 29/09/2026 | LinkedIn InMail | Quan tâm | Đang tìm việc | Hẹn gọi 01/10</t>
        </is>
      </c>
    </row>
    <row r="4">
      <c r="A4" s="9" t="inlineStr">
        <is>
          <t>Phạm vi</t>
        </is>
      </c>
      <c r="B4" s="9" t="inlineStr">
        <is>
          <t>Chủ nhiệm dự án Thiết bị &amp; Giải pháp lưới điện (truyền tải – phân phối, trạm biến áp, đường dây, EPC) – Từ Liêm, Hà Nội. Địa điểm ghi 'Chưa xác minh' = cần hỏi lại ứng viên</t>
        </is>
      </c>
    </row>
    <row r="5">
      <c r="A5" s="9" t="inlineStr">
        <is>
          <t>Nguồn</t>
        </is>
      </c>
      <c r="B5" s="9" t="inlineStr">
        <is>
          <t>Apify harvestapi/linkedin-profile-search (Full, không email search) + apify/google-search-scraper trên hồ sơ/bài đăng LinkedIn công khai; kiểm tra 09/10/2026; không đăng nhập</t>
        </is>
      </c>
    </row>
    <row r="6">
      <c r="A6" s="9" t="inlineStr">
        <is>
          <t>Open to Work</t>
        </is>
      </c>
      <c r="B6" s="9" t="inlineStr">
        <is>
          <t>confirmed = cờ openToWork=true hoặc headline ghi rõ đang tìm việc; probable = có tín hiệu nhưng chưa rõ ràng hoặc đã cũ; unverified = chưa thấy tín hiệu</t>
        </is>
      </c>
    </row>
    <row r="7">
      <c r="A7" s="9" t="inlineStr">
        <is>
          <t>Chấm điểm (100)</t>
        </is>
      </c>
      <c r="B7" s="9" t="inlineStr">
        <is>
          <t>OTW 20 · đúng ngành 25 · kinh nghiệm kinh doanh dự án/đấu thầu 25 · cấp bậc &amp; số năm 10 · ở Hà Nội 10 · chuyên ngành kỹ thuật 10. Thiếu dữ liệu = 0 điểm</t>
        </is>
      </c>
    </row>
    <row r="8">
      <c r="A8" s="9" t="inlineStr">
        <is>
          <t>Giới tính</t>
        </is>
      </c>
      <c r="B8" s="9" t="inlineStr">
        <is>
          <t>Không dùng tuổi, giới tính hay đặc điểm cá nhân để lọc hoặc chấm điểm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2026-10-09T06:55:13Z</dcterms:created>
  <dcterms:modified xmlns:dcterms="http://purl.org/dc/terms/" xmlns:xsi="http://www.w3.org/2001/XMLSchema-instance" xsi:type="dcterms:W3CDTF">2026-10-09T06:55:13Z</dcterms:modified>
</cp:coreProperties>
</file>